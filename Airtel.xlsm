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metadata.xml" ContentType="application/vnd.openxmlformats-officedocument.spreadsheetml.sheetMetadata+xml"/>
  <Override PartName="/xl/drawings/drawing1.xml" ContentType="application/vnd.openxmlformats-officedocument.drawing+xml"/>
  <Override PartName="/xl/drawings/drawing2.xml" ContentType="application/vnd.openxmlformats-officedocument.drawing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8324" codeName="{899C9086-67A9-5B14-2C2D-5A8001700F7D}"/>
  <workbookPr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C:\Users\Mani Srikar\Desktop\models\"/>
    </mc:Choice>
  </mc:AlternateContent>
  <xr:revisionPtr revIDLastSave="0" documentId="13_ncr:1_{EA72940C-5910-4A46-920E-797D9D61D5C4}" xr6:coauthVersionLast="47" xr6:coauthVersionMax="47" xr10:uidLastSave="{00000000-0000-0000-0000-000000000000}"/>
  <bookViews>
    <workbookView xWindow="-96" yWindow="0" windowWidth="11712" windowHeight="12336" activeTab="1" xr2:uid="{8F48D679-DCA8-47AC-BDA1-DA9BCC0228D6}"/>
  </bookViews>
  <sheets>
    <sheet name="Main" sheetId="1" r:id="rId1"/>
    <sheet name="Model" sheetId="2" r:id="rId2"/>
    <sheet name="Math" sheetId="3" r:id="rId3"/>
    <sheet name="charts" sheetId="4" r:id="rId4"/>
  </sheets>
  <functionGroups builtInGroupCount="19"/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</xcalcf:calcFeatures>
    </ext>
  </extLst>
</workbook>
</file>

<file path=xl/calcChain.xml><?xml version="1.0" encoding="utf-8"?>
<calcChain xmlns="http://schemas.openxmlformats.org/spreadsheetml/2006/main">
  <c r="L33" i="2" l="1"/>
  <c r="M33" i="2"/>
  <c r="N33" i="2"/>
  <c r="O33" i="2"/>
  <c r="P22" i="2"/>
  <c r="P13" i="2"/>
  <c r="Q15" i="2"/>
  <c r="R15" i="2" s="1"/>
  <c r="S15" i="2" s="1"/>
  <c r="T15" i="2" s="1"/>
  <c r="U15" i="2" s="1"/>
  <c r="U12" i="2"/>
  <c r="T12" i="2"/>
  <c r="S12" i="2"/>
  <c r="R12" i="2"/>
  <c r="Q12" i="2"/>
  <c r="P12" i="2"/>
  <c r="N26" i="2"/>
  <c r="K26" i="2"/>
  <c r="L26" i="2"/>
  <c r="M26" i="2"/>
  <c r="AE27" i="2"/>
  <c r="AD27" i="2"/>
  <c r="AE25" i="2"/>
  <c r="Z19" i="2"/>
  <c r="AE9" i="2"/>
  <c r="Y3" i="2"/>
  <c r="X3" i="2" s="1"/>
  <c r="Z3" i="2"/>
  <c r="AC24" i="2"/>
  <c r="Q20" i="2"/>
  <c r="R20" i="2" s="1"/>
  <c r="S20" i="2" s="1"/>
  <c r="T20" i="2" s="1"/>
  <c r="U20" i="2" s="1"/>
  <c r="F23" i="2"/>
  <c r="F17" i="2"/>
  <c r="F13" i="2"/>
  <c r="F12" i="2"/>
  <c r="G23" i="2"/>
  <c r="G14" i="2"/>
  <c r="G17" i="2" s="1"/>
  <c r="G13" i="2"/>
  <c r="G12" i="2"/>
  <c r="G31" i="2" s="1"/>
  <c r="AE56" i="2"/>
  <c r="AE55" i="2"/>
  <c r="AB8" i="2"/>
  <c r="AD23" i="2"/>
  <c r="AD19" i="2"/>
  <c r="AD13" i="2"/>
  <c r="AD17" i="2"/>
  <c r="AD12" i="2"/>
  <c r="AD32" i="2" s="1"/>
  <c r="AE23" i="2"/>
  <c r="AE19" i="2"/>
  <c r="AE16" i="2"/>
  <c r="AE15" i="2"/>
  <c r="AE14" i="2"/>
  <c r="AE13" i="2"/>
  <c r="AE12" i="2"/>
  <c r="E23" i="2"/>
  <c r="E14" i="2"/>
  <c r="E17" i="2" s="1"/>
  <c r="E13" i="2"/>
  <c r="E12" i="2"/>
  <c r="H23" i="2"/>
  <c r="H17" i="2"/>
  <c r="H13" i="2"/>
  <c r="H12" i="2"/>
  <c r="H31" i="2" s="1"/>
  <c r="I23" i="2"/>
  <c r="I16" i="2"/>
  <c r="I15" i="2"/>
  <c r="I14" i="2"/>
  <c r="I13" i="2"/>
  <c r="I12" i="2"/>
  <c r="I31" i="2" s="1"/>
  <c r="E3" i="2"/>
  <c r="F3" i="2"/>
  <c r="G3" i="2"/>
  <c r="A41" i="3"/>
  <c r="A42" i="3" s="1"/>
  <c r="A43" i="3" s="1"/>
  <c r="A44" i="3" s="1"/>
  <c r="A45" i="3" s="1"/>
  <c r="A46" i="3" s="1"/>
  <c r="A47" i="3" s="1"/>
  <c r="A48" i="3" s="1"/>
  <c r="A49" i="3" s="1"/>
  <c r="A50" i="3" s="1"/>
  <c r="D29" i="3"/>
  <c r="D28" i="3"/>
  <c r="D27" i="3"/>
  <c r="D26" i="3"/>
  <c r="G17" i="3"/>
  <c r="G18" i="3" s="1"/>
  <c r="I13" i="3" a="1"/>
  <c r="I13" i="3" s="1"/>
  <c r="E10" i="3"/>
  <c r="F10" i="3" s="1"/>
  <c r="C10" i="3"/>
  <c r="I9" i="3"/>
  <c r="C9" i="3"/>
  <c r="E9" i="3" s="1"/>
  <c r="F9" i="3" s="1"/>
  <c r="E8" i="3"/>
  <c r="F8" i="3" s="1"/>
  <c r="C8" i="3"/>
  <c r="C7" i="3"/>
  <c r="E7" i="3" s="1"/>
  <c r="D4" i="3"/>
  <c r="E4" i="3" s="1"/>
  <c r="F4" i="3" s="1"/>
  <c r="E32" i="2" l="1"/>
  <c r="F32" i="2"/>
  <c r="AE17" i="2"/>
  <c r="AE18" i="2" s="1"/>
  <c r="AE22" i="2" s="1"/>
  <c r="AE24" i="2" s="1"/>
  <c r="H32" i="2"/>
  <c r="H18" i="2"/>
  <c r="H22" i="2" s="1"/>
  <c r="H34" i="2" s="1"/>
  <c r="AD31" i="2"/>
  <c r="F18" i="2"/>
  <c r="F22" i="2" s="1"/>
  <c r="F24" i="2" s="1"/>
  <c r="F35" i="2" s="1"/>
  <c r="E18" i="2"/>
  <c r="E22" i="2" s="1"/>
  <c r="E24" i="2" s="1"/>
  <c r="E35" i="2" s="1"/>
  <c r="G32" i="2"/>
  <c r="I17" i="2"/>
  <c r="I18" i="2" s="1"/>
  <c r="I22" i="2" s="1"/>
  <c r="I34" i="2" s="1"/>
  <c r="I32" i="2"/>
  <c r="G18" i="2"/>
  <c r="G22" i="2" s="1"/>
  <c r="G34" i="2" s="1"/>
  <c r="AF15" i="2"/>
  <c r="AG15" i="2" s="1"/>
  <c r="AH15" i="2" s="1"/>
  <c r="AI15" i="2" s="1"/>
  <c r="AJ15" i="2" s="1"/>
  <c r="AK15" i="2" s="1"/>
  <c r="AL15" i="2" s="1"/>
  <c r="AM15" i="2" s="1"/>
  <c r="AN15" i="2" s="1"/>
  <c r="E31" i="2"/>
  <c r="F31" i="2"/>
  <c r="E33" i="2"/>
  <c r="AD18" i="2"/>
  <c r="AD22" i="2" s="1"/>
  <c r="AD24" i="2" s="1"/>
  <c r="AD35" i="2" s="1"/>
  <c r="F7" i="3"/>
  <c r="D12" i="3"/>
  <c r="D13" i="3" s="1"/>
  <c r="D14" i="3" s="1"/>
  <c r="C18" i="3"/>
  <c r="D18" i="3" s="1"/>
  <c r="C20" i="3"/>
  <c r="D20" i="3" s="1"/>
  <c r="G19" i="3"/>
  <c r="C19" i="3"/>
  <c r="D19" i="3" s="1"/>
  <c r="C17" i="3"/>
  <c r="D17" i="3" s="1"/>
  <c r="E17" i="3" s="1"/>
  <c r="F17" i="3" s="1"/>
  <c r="H24" i="2" l="1"/>
  <c r="H35" i="2" s="1"/>
  <c r="E34" i="2"/>
  <c r="F34" i="2"/>
  <c r="G24" i="2"/>
  <c r="G35" i="2" s="1"/>
  <c r="I24" i="2"/>
  <c r="I35" i="2" s="1"/>
  <c r="AD34" i="2"/>
  <c r="I8" i="3"/>
  <c r="C24" i="3"/>
  <c r="C27" i="3" l="1"/>
  <c r="C29" i="3"/>
  <c r="C26" i="3"/>
  <c r="C28" i="3"/>
  <c r="I5" i="3"/>
  <c r="I6" i="3" s="1"/>
  <c r="C32" i="3" l="1"/>
  <c r="E28" i="3"/>
  <c r="C30" i="3"/>
  <c r="E26" i="3"/>
  <c r="E29" i="3"/>
  <c r="C33" i="3"/>
  <c r="E27" i="3"/>
  <c r="C31" i="3"/>
  <c r="E30" i="3" l="1"/>
  <c r="C34" i="3"/>
  <c r="G20" i="3" l="1"/>
  <c r="D32" i="3"/>
  <c r="L6" i="3" l="1"/>
  <c r="L10" i="3" s="1"/>
  <c r="H29" i="3"/>
  <c r="L7" i="3" s="1"/>
  <c r="AS8" i="2" l="1"/>
  <c r="AS7" i="2"/>
  <c r="AS6" i="2"/>
  <c r="AS5" i="2"/>
  <c r="N17" i="2"/>
  <c r="AS33" i="2"/>
  <c r="K23" i="2" l="1"/>
  <c r="J17" i="2"/>
  <c r="J13" i="2"/>
  <c r="J12" i="2"/>
  <c r="J57" i="2"/>
  <c r="L43" i="2"/>
  <c r="K17" i="2"/>
  <c r="K12" i="2"/>
  <c r="J23" i="2"/>
  <c r="K13" i="2"/>
  <c r="L23" i="2"/>
  <c r="L17" i="2"/>
  <c r="L13" i="2"/>
  <c r="L12" i="2"/>
  <c r="K57" i="2"/>
  <c r="L57" i="2"/>
  <c r="M57" i="2"/>
  <c r="N56" i="2"/>
  <c r="N57" i="2" s="1"/>
  <c r="N39" i="2"/>
  <c r="M50" i="2"/>
  <c r="N49" i="2"/>
  <c r="N43" i="2"/>
  <c r="L32" i="2" l="1"/>
  <c r="F33" i="2"/>
  <c r="J31" i="2"/>
  <c r="K31" i="2"/>
  <c r="G33" i="2"/>
  <c r="L31" i="2"/>
  <c r="H33" i="2"/>
  <c r="J32" i="2"/>
  <c r="AE57" i="2"/>
  <c r="K32" i="2"/>
  <c r="K18" i="2"/>
  <c r="K22" i="2" s="1"/>
  <c r="J18" i="2"/>
  <c r="L18" i="2"/>
  <c r="L22" i="2" s="1"/>
  <c r="L24" i="2" s="1"/>
  <c r="K24" i="2" l="1"/>
  <c r="K35" i="2" s="1"/>
  <c r="K34" i="2"/>
  <c r="J22" i="2"/>
  <c r="J34" i="2" s="1"/>
  <c r="J24" i="2" l="1"/>
  <c r="J35" i="2" s="1"/>
  <c r="M7" i="2"/>
  <c r="M5" i="2"/>
  <c r="M23" i="2"/>
  <c r="M17" i="2"/>
  <c r="M13" i="2"/>
  <c r="M12" i="2"/>
  <c r="AE7" i="2"/>
  <c r="AE6" i="2"/>
  <c r="AE5" i="2"/>
  <c r="AE4" i="2"/>
  <c r="O51" i="2"/>
  <c r="O48" i="2"/>
  <c r="M48" i="2"/>
  <c r="M49" i="2"/>
  <c r="M46" i="2"/>
  <c r="M45" i="2"/>
  <c r="O46" i="2"/>
  <c r="O45" i="2"/>
  <c r="M43" i="2"/>
  <c r="M40" i="2"/>
  <c r="N23" i="2"/>
  <c r="O23" i="2"/>
  <c r="N20" i="2"/>
  <c r="AF20" i="2" s="1"/>
  <c r="AG20" i="2" s="1"/>
  <c r="AH20" i="2" s="1"/>
  <c r="AI20" i="2" s="1"/>
  <c r="AJ20" i="2" s="1"/>
  <c r="AK20" i="2" s="1"/>
  <c r="AL20" i="2" s="1"/>
  <c r="AM20" i="2" s="1"/>
  <c r="AN20" i="2" s="1"/>
  <c r="N19" i="2"/>
  <c r="N13" i="2"/>
  <c r="N11" i="2"/>
  <c r="N7" i="2"/>
  <c r="N6" i="2"/>
  <c r="N5" i="2"/>
  <c r="O7" i="2"/>
  <c r="O6" i="2"/>
  <c r="O5" i="2"/>
  <c r="O4" i="2"/>
  <c r="AF4" i="2" s="1"/>
  <c r="O56" i="2"/>
  <c r="O55" i="2"/>
  <c r="O50" i="2"/>
  <c r="O49" i="2"/>
  <c r="O47" i="2"/>
  <c r="AC3" i="2"/>
  <c r="AD3" i="2" s="1"/>
  <c r="AE3" i="2" s="1"/>
  <c r="AF3" i="2" s="1"/>
  <c r="AG3" i="2" s="1"/>
  <c r="L6" i="1"/>
  <c r="L5" i="1"/>
  <c r="O43" i="2"/>
  <c r="O42" i="2"/>
  <c r="O39" i="2"/>
  <c r="AF5" i="2" l="1"/>
  <c r="M32" i="2"/>
  <c r="AF7" i="2"/>
  <c r="M31" i="2"/>
  <c r="I33" i="2"/>
  <c r="N12" i="2"/>
  <c r="J33" i="2" s="1"/>
  <c r="AF6" i="2"/>
  <c r="AH3" i="2"/>
  <c r="AI3" i="2" s="1"/>
  <c r="AJ3" i="2" s="1"/>
  <c r="AK3" i="2" s="1"/>
  <c r="AL3" i="2" s="1"/>
  <c r="AM3" i="2" s="1"/>
  <c r="AN3" i="2" s="1"/>
  <c r="M18" i="2"/>
  <c r="O57" i="2"/>
  <c r="O52" i="2"/>
  <c r="O27" i="2"/>
  <c r="O16" i="2"/>
  <c r="O14" i="2"/>
  <c r="N18" i="2" l="1"/>
  <c r="N22" i="2" s="1"/>
  <c r="N24" i="2" s="1"/>
  <c r="N28" i="2" s="1"/>
  <c r="N29" i="2" s="1"/>
  <c r="Q14" i="2"/>
  <c r="R14" i="2" s="1"/>
  <c r="S14" i="2" s="1"/>
  <c r="T14" i="2" s="1"/>
  <c r="U14" i="2" s="1"/>
  <c r="N31" i="2"/>
  <c r="N32" i="2"/>
  <c r="M22" i="2"/>
  <c r="O17" i="2"/>
  <c r="O11" i="2"/>
  <c r="O10" i="2"/>
  <c r="N4" i="1"/>
  <c r="L7" i="1"/>
  <c r="L9" i="1" s="1"/>
  <c r="AF14" i="2" l="1"/>
  <c r="AG14" i="2" s="1"/>
  <c r="P17" i="2"/>
  <c r="Q16" i="2"/>
  <c r="Q10" i="2"/>
  <c r="R10" i="2" s="1"/>
  <c r="S10" i="2" s="1"/>
  <c r="T10" i="2" s="1"/>
  <c r="U10" i="2" s="1"/>
  <c r="Q11" i="2"/>
  <c r="R11" i="2" s="1"/>
  <c r="S11" i="2" s="1"/>
  <c r="T11" i="2" s="1"/>
  <c r="U11" i="2" s="1"/>
  <c r="AF11" i="2"/>
  <c r="AG11" i="2" s="1"/>
  <c r="AH11" i="2" s="1"/>
  <c r="AI11" i="2" s="1"/>
  <c r="AJ11" i="2" s="1"/>
  <c r="AK11" i="2" s="1"/>
  <c r="AL11" i="2" s="1"/>
  <c r="AM11" i="2" s="1"/>
  <c r="AN11" i="2" s="1"/>
  <c r="M24" i="2"/>
  <c r="O12" i="2"/>
  <c r="AH14" i="2" l="1"/>
  <c r="AF10" i="2"/>
  <c r="R16" i="2"/>
  <c r="Q17" i="2"/>
  <c r="O31" i="2"/>
  <c r="O13" i="2"/>
  <c r="K33" i="2"/>
  <c r="F38" i="2" s="1"/>
  <c r="AF16" i="2"/>
  <c r="AF17" i="2" l="1"/>
  <c r="AG16" i="2"/>
  <c r="AI14" i="2"/>
  <c r="AF12" i="2"/>
  <c r="AF8" i="2"/>
  <c r="P18" i="2"/>
  <c r="O32" i="2"/>
  <c r="O18" i="2"/>
  <c r="O22" i="2" s="1"/>
  <c r="R17" i="2"/>
  <c r="S16" i="2"/>
  <c r="AH16" i="2" l="1"/>
  <c r="AG17" i="2"/>
  <c r="AJ14" i="2"/>
  <c r="AF9" i="2"/>
  <c r="AG10" i="2"/>
  <c r="S17" i="2"/>
  <c r="T16" i="2"/>
  <c r="Q13" i="2"/>
  <c r="AF13" i="2" s="1"/>
  <c r="Q19" i="2"/>
  <c r="AF19" i="2" s="1"/>
  <c r="O24" i="2"/>
  <c r="AI16" i="2" l="1"/>
  <c r="AH17" i="2"/>
  <c r="AK14" i="2"/>
  <c r="AA19" i="2"/>
  <c r="AG19" i="2"/>
  <c r="AH19" i="2" s="1"/>
  <c r="AI19" i="2" s="1"/>
  <c r="AJ19" i="2" s="1"/>
  <c r="AK19" i="2" s="1"/>
  <c r="AL19" i="2" s="1"/>
  <c r="AM19" i="2" s="1"/>
  <c r="AN19" i="2" s="1"/>
  <c r="AF18" i="2"/>
  <c r="AF22" i="2" s="1"/>
  <c r="AG13" i="2"/>
  <c r="AH13" i="2" s="1"/>
  <c r="AI13" i="2" s="1"/>
  <c r="AJ13" i="2" s="1"/>
  <c r="AK13" i="2" s="1"/>
  <c r="AL13" i="2" s="1"/>
  <c r="AM13" i="2" s="1"/>
  <c r="AN13" i="2" s="1"/>
  <c r="AG12" i="2"/>
  <c r="AH10" i="2"/>
  <c r="R13" i="2"/>
  <c r="R18" i="2" s="1"/>
  <c r="R22" i="2" s="1"/>
  <c r="R19" i="2"/>
  <c r="T17" i="2"/>
  <c r="U16" i="2"/>
  <c r="U17" i="2" s="1"/>
  <c r="Q18" i="2"/>
  <c r="Q22" i="2" s="1"/>
  <c r="P24" i="2"/>
  <c r="O28" i="2"/>
  <c r="AJ16" i="2" l="1"/>
  <c r="AI17" i="2"/>
  <c r="AL14" i="2"/>
  <c r="AG18" i="2"/>
  <c r="AG22" i="2" s="1"/>
  <c r="AG23" i="2" s="1"/>
  <c r="AH12" i="2"/>
  <c r="AH18" i="2" s="1"/>
  <c r="AH22" i="2" s="1"/>
  <c r="AI10" i="2"/>
  <c r="S13" i="2"/>
  <c r="S18" i="2" s="1"/>
  <c r="S19" i="2"/>
  <c r="R23" i="2"/>
  <c r="R24" i="2" s="1"/>
  <c r="Q23" i="2"/>
  <c r="AF23" i="2" s="1"/>
  <c r="AF24" i="2" s="1"/>
  <c r="AF25" i="2" s="1"/>
  <c r="O29" i="2"/>
  <c r="AK16" i="2" l="1"/>
  <c r="AJ17" i="2"/>
  <c r="AG27" i="2"/>
  <c r="AG24" i="2"/>
  <c r="AG25" i="2" s="1"/>
  <c r="AM14" i="2"/>
  <c r="S22" i="2"/>
  <c r="S23" i="2" s="1"/>
  <c r="S24" i="2" s="1"/>
  <c r="AF27" i="2"/>
  <c r="AJ10" i="2"/>
  <c r="AI12" i="2"/>
  <c r="AI18" i="2" s="1"/>
  <c r="AI22" i="2" s="1"/>
  <c r="AH23" i="2"/>
  <c r="AH27" i="2" s="1"/>
  <c r="T19" i="2"/>
  <c r="T13" i="2"/>
  <c r="T18" i="2" s="1"/>
  <c r="Q24" i="2"/>
  <c r="AL16" i="2" l="1"/>
  <c r="AK17" i="2"/>
  <c r="AN14" i="2"/>
  <c r="T22" i="2"/>
  <c r="T23" i="2" s="1"/>
  <c r="T24" i="2" s="1"/>
  <c r="AH24" i="2"/>
  <c r="AH25" i="2" s="1"/>
  <c r="AI23" i="2"/>
  <c r="AI27" i="2" s="1"/>
  <c r="AK10" i="2"/>
  <c r="AJ12" i="2"/>
  <c r="AJ18" i="2" s="1"/>
  <c r="AJ22" i="2" s="1"/>
  <c r="U13" i="2"/>
  <c r="U18" i="2" s="1"/>
  <c r="U19" i="2"/>
  <c r="AM16" i="2" l="1"/>
  <c r="AL17" i="2"/>
  <c r="AJ23" i="2"/>
  <c r="AJ27" i="2" s="1"/>
  <c r="AL10" i="2"/>
  <c r="AK12" i="2"/>
  <c r="AK18" i="2" s="1"/>
  <c r="AK22" i="2" s="1"/>
  <c r="AI24" i="2"/>
  <c r="AI25" i="2" s="1"/>
  <c r="U22" i="2"/>
  <c r="U23" i="2" s="1"/>
  <c r="U24" i="2" s="1"/>
  <c r="AN16" i="2" l="1"/>
  <c r="AN17" i="2" s="1"/>
  <c r="AM17" i="2"/>
  <c r="AK23" i="2"/>
  <c r="AK27" i="2" s="1"/>
  <c r="AM10" i="2"/>
  <c r="AL12" i="2"/>
  <c r="AL18" i="2" s="1"/>
  <c r="AL22" i="2" s="1"/>
  <c r="AJ24" i="2"/>
  <c r="AJ25" i="2" s="1"/>
  <c r="AC8" i="2"/>
  <c r="AL23" i="2" l="1"/>
  <c r="AL27" i="2" s="1"/>
  <c r="AL24" i="2"/>
  <c r="AN10" i="2"/>
  <c r="AN12" i="2" s="1"/>
  <c r="AN18" i="2" s="1"/>
  <c r="AN22" i="2" s="1"/>
  <c r="AM12" i="2"/>
  <c r="AM18" i="2" s="1"/>
  <c r="AM22" i="2" s="1"/>
  <c r="AK24" i="2"/>
  <c r="AK25" i="2" s="1"/>
  <c r="AL25" i="2" l="1"/>
  <c r="AN23" i="2"/>
  <c r="AN27" i="2" s="1"/>
  <c r="AM23" i="2"/>
  <c r="AM27" i="2" s="1"/>
  <c r="AM24" i="2" l="1"/>
  <c r="AM25" i="2" s="1"/>
  <c r="AN24" i="2"/>
  <c r="AN25" i="2" l="1"/>
  <c r="AO24" i="2"/>
  <c r="AP24" i="2" l="1"/>
  <c r="AQ24" i="2" s="1"/>
  <c r="AR24" i="2" s="1"/>
  <c r="AS24" i="2" s="1"/>
  <c r="AT24" i="2" s="1"/>
  <c r="AU24" i="2" s="1"/>
  <c r="AV24" i="2" s="1"/>
  <c r="AW24" i="2" s="1"/>
  <c r="AX24" i="2" s="1"/>
  <c r="AY24" i="2" s="1"/>
  <c r="AZ24" i="2" s="1"/>
  <c r="BA24" i="2" s="1"/>
  <c r="BB24" i="2" s="1"/>
  <c r="BC24" i="2" s="1"/>
  <c r="BD24" i="2" s="1"/>
  <c r="BE24" i="2" s="1"/>
  <c r="BF24" i="2" s="1"/>
  <c r="BG24" i="2" s="1"/>
  <c r="BH24" i="2" s="1"/>
  <c r="BI24" i="2" s="1"/>
  <c r="BJ24" i="2" s="1"/>
  <c r="BK24" i="2" s="1"/>
  <c r="BL24" i="2" s="1"/>
  <c r="BM24" i="2" s="1"/>
  <c r="BN24" i="2" s="1"/>
  <c r="BO24" i="2" s="1"/>
  <c r="BP24" i="2" s="1"/>
  <c r="BQ24" i="2" s="1"/>
  <c r="BR24" i="2" s="1"/>
  <c r="BS24" i="2" s="1"/>
  <c r="BT24" i="2" s="1"/>
  <c r="BU24" i="2" s="1"/>
  <c r="BV24" i="2" s="1"/>
  <c r="BW24" i="2" s="1"/>
  <c r="BX24" i="2" s="1"/>
  <c r="BY24" i="2" s="1"/>
  <c r="BZ24" i="2" s="1"/>
  <c r="CA24" i="2" s="1"/>
  <c r="CB24" i="2" s="1"/>
  <c r="CC24" i="2" s="1"/>
  <c r="CD24" i="2" s="1"/>
  <c r="CE24" i="2" s="1"/>
  <c r="CF24" i="2" s="1"/>
  <c r="CG24" i="2" s="1"/>
  <c r="CH24" i="2" s="1"/>
  <c r="CI24" i="2" s="1"/>
  <c r="CJ24" i="2" s="1"/>
  <c r="CK24" i="2" s="1"/>
  <c r="CL24" i="2" s="1"/>
  <c r="CM24" i="2" s="1"/>
  <c r="CN24" i="2" s="1"/>
  <c r="CO24" i="2" s="1"/>
  <c r="CP24" i="2" s="1"/>
  <c r="CQ24" i="2" s="1"/>
  <c r="CR24" i="2" s="1"/>
  <c r="CS24" i="2" s="1"/>
  <c r="CT24" i="2" s="1"/>
  <c r="CU24" i="2" s="1"/>
  <c r="CV24" i="2" s="1"/>
  <c r="CW24" i="2" s="1"/>
  <c r="CX24" i="2" s="1"/>
  <c r="CY24" i="2" s="1"/>
  <c r="CZ24" i="2" s="1"/>
  <c r="DA24" i="2" s="1"/>
  <c r="DB24" i="2" s="1"/>
  <c r="DC24" i="2" s="1"/>
  <c r="DD24" i="2" s="1"/>
  <c r="DE24" i="2" s="1"/>
  <c r="DF24" i="2" s="1"/>
  <c r="DG24" i="2" s="1"/>
  <c r="DH24" i="2" s="1"/>
  <c r="DI24" i="2" s="1"/>
  <c r="DJ24" i="2" s="1"/>
  <c r="DK24" i="2" s="1"/>
  <c r="DL24" i="2" s="1"/>
  <c r="DM24" i="2" s="1"/>
  <c r="DN24" i="2" s="1"/>
  <c r="DO24" i="2" s="1"/>
  <c r="AO25" i="2"/>
  <c r="AS31" i="2" l="1"/>
  <c r="AS32" i="2" l="1"/>
  <c r="AJ5" i="2"/>
  <c r="AS34" i="2"/>
</calcChain>
</file>

<file path=xl/metadata.xml><?xml version="1.0" encoding="utf-8"?>
<metadata xmlns="http://schemas.openxmlformats.org/spreadsheetml/2006/main" xmlns:xda="http://schemas.microsoft.com/office/spreadsheetml/2017/dynamicarray">
  <metadataTypes count="1">
    <metadataType name="XLDAPR" minSupportedVersion="120000" copy="1" pasteAll="1" pasteValues="1" merge="1" splitFirst="1" rowColShift="1" clearFormats="1" clearComments="1" assign="1" coerce="1" cellMeta="1"/>
  </metadataTypes>
  <futureMetadata name="XLDAPR" count="1">
    <bk>
      <extLst>
        <ext uri="{bdbb8cdc-fa1e-496e-a857-3c3f30c029c3}">
          <xda:dynamicArrayProperties fDynamic="1" fCollapsed="0"/>
        </ext>
      </extLst>
    </bk>
  </futureMetadata>
  <cellMetadata count="1">
    <bk>
      <rc t="1" v="0"/>
    </bk>
  </cellMetadata>
</metadata>
</file>

<file path=xl/sharedStrings.xml><?xml version="1.0" encoding="utf-8"?>
<sst xmlns="http://schemas.openxmlformats.org/spreadsheetml/2006/main" count="175" uniqueCount="140">
  <si>
    <t>price</t>
  </si>
  <si>
    <t>shares</t>
  </si>
  <si>
    <t>Ev's price</t>
  </si>
  <si>
    <t>market cap(cr)</t>
  </si>
  <si>
    <t>cash (cr)</t>
  </si>
  <si>
    <t>debt (cr)</t>
  </si>
  <si>
    <t>EV(cr)</t>
  </si>
  <si>
    <t>Operations</t>
  </si>
  <si>
    <t xml:space="preserve">Telecommunications </t>
  </si>
  <si>
    <t>India</t>
  </si>
  <si>
    <t>Africa</t>
  </si>
  <si>
    <t>South Asia</t>
  </si>
  <si>
    <t>Homes Servics</t>
  </si>
  <si>
    <t>Digital TV services</t>
  </si>
  <si>
    <t>Airtel Business</t>
  </si>
  <si>
    <t>(sep -24)</t>
  </si>
  <si>
    <t>others</t>
  </si>
  <si>
    <t>Revenue</t>
  </si>
  <si>
    <t>COGS</t>
  </si>
  <si>
    <t>Marketing</t>
  </si>
  <si>
    <t>Employee  benfits</t>
  </si>
  <si>
    <t>Others</t>
  </si>
  <si>
    <t>OpEX</t>
  </si>
  <si>
    <t>Gross Profit</t>
  </si>
  <si>
    <t>D&amp;A</t>
  </si>
  <si>
    <t>Finance</t>
  </si>
  <si>
    <t>pre tax income</t>
  </si>
  <si>
    <t>Taxes</t>
  </si>
  <si>
    <t>Profit</t>
  </si>
  <si>
    <t>Reported Ni</t>
  </si>
  <si>
    <t>Model Ni</t>
  </si>
  <si>
    <t>PP&amp;E</t>
  </si>
  <si>
    <t>Goodwill</t>
  </si>
  <si>
    <t>Capital work in progrees</t>
  </si>
  <si>
    <t>intangibles</t>
  </si>
  <si>
    <t>Revenue Y/Y</t>
  </si>
  <si>
    <t>Gross Margin (%)</t>
  </si>
  <si>
    <t>EPS (rupees)</t>
  </si>
  <si>
    <t>investments</t>
  </si>
  <si>
    <t>inventories</t>
  </si>
  <si>
    <t>cash and equivalents</t>
  </si>
  <si>
    <t>financial assets</t>
  </si>
  <si>
    <t>debt</t>
  </si>
  <si>
    <t>tax liabiities</t>
  </si>
  <si>
    <t>L+SE</t>
  </si>
  <si>
    <t>Equity</t>
  </si>
  <si>
    <t>CFFO</t>
  </si>
  <si>
    <t>CapEx</t>
  </si>
  <si>
    <t>FCF</t>
  </si>
  <si>
    <t>Sevices India</t>
  </si>
  <si>
    <t>Sevices foreign</t>
  </si>
  <si>
    <t>Digital Tv</t>
  </si>
  <si>
    <t>Home and business</t>
  </si>
  <si>
    <t>Receivables</t>
  </si>
  <si>
    <t>Payables</t>
  </si>
  <si>
    <t xml:space="preserve"> </t>
  </si>
  <si>
    <t>Est</t>
  </si>
  <si>
    <t>Discount rate</t>
  </si>
  <si>
    <t>IRR</t>
  </si>
  <si>
    <t>NPV</t>
  </si>
  <si>
    <t>NPV EV</t>
  </si>
  <si>
    <t>share</t>
  </si>
  <si>
    <t>implied price</t>
  </si>
  <si>
    <t>exceptional items</t>
  </si>
  <si>
    <t>Taxes as of pretax</t>
  </si>
  <si>
    <t>A</t>
  </si>
  <si>
    <t xml:space="preserve">Cogs </t>
  </si>
  <si>
    <t>D&amp;A %</t>
  </si>
  <si>
    <t>`</t>
  </si>
  <si>
    <t>Maturity</t>
  </si>
  <si>
    <t>Intrest Expense</t>
  </si>
  <si>
    <t>Estimates</t>
  </si>
  <si>
    <t xml:space="preserve">Wall Street </t>
  </si>
  <si>
    <t>Growth</t>
  </si>
  <si>
    <t>Price</t>
  </si>
  <si>
    <t>Best case</t>
  </si>
  <si>
    <t>Not so best</t>
  </si>
  <si>
    <t>Decent</t>
  </si>
  <si>
    <t xml:space="preserve">Current price </t>
  </si>
  <si>
    <t>months</t>
  </si>
  <si>
    <t>Time-period</t>
  </si>
  <si>
    <t>initial capital</t>
  </si>
  <si>
    <t>return</t>
  </si>
  <si>
    <t>invested return</t>
  </si>
  <si>
    <t>Ri</t>
  </si>
  <si>
    <t xml:space="preserve">sharpe ratio </t>
  </si>
  <si>
    <t>Beta</t>
  </si>
  <si>
    <t>stock 1</t>
  </si>
  <si>
    <t>risk free rate</t>
  </si>
  <si>
    <t>alpha</t>
  </si>
  <si>
    <t>stock 2</t>
  </si>
  <si>
    <t>portfolio return</t>
  </si>
  <si>
    <t>stock 3</t>
  </si>
  <si>
    <t xml:space="preserve">standard devation or volatlity </t>
  </si>
  <si>
    <t>Trenor ratio</t>
  </si>
  <si>
    <t>stock 4</t>
  </si>
  <si>
    <t>Rp-Rm/beta</t>
  </si>
  <si>
    <t xml:space="preserve">sortino ratio </t>
  </si>
  <si>
    <t xml:space="preserve">rp-rf/sigma of downside </t>
  </si>
  <si>
    <t xml:space="preserve">dividend  discount </t>
  </si>
  <si>
    <t>p/l</t>
  </si>
  <si>
    <t>model</t>
  </si>
  <si>
    <t>Rf</t>
  </si>
  <si>
    <t>of only downside  volatility</t>
  </si>
  <si>
    <t>s.no</t>
  </si>
  <si>
    <t>devaiations</t>
  </si>
  <si>
    <t>square of deviations</t>
  </si>
  <si>
    <t>variance</t>
  </si>
  <si>
    <t>standard deviation</t>
  </si>
  <si>
    <t>MISSCELLANEOUS</t>
  </si>
  <si>
    <t>Mean</t>
  </si>
  <si>
    <t>HISTORIC RISK FREE RATES</t>
  </si>
  <si>
    <t>mean</t>
  </si>
  <si>
    <t>xi-mean</t>
  </si>
  <si>
    <t>alpha    =</t>
  </si>
  <si>
    <t>Rf-(Rf+Beta(Rm-Rf)</t>
  </si>
  <si>
    <t>BETA</t>
  </si>
  <si>
    <t>sector</t>
  </si>
  <si>
    <t>volatility deviations</t>
  </si>
  <si>
    <t>index(if)</t>
  </si>
  <si>
    <t>energy</t>
  </si>
  <si>
    <t>energies</t>
  </si>
  <si>
    <t>medical and healthcare</t>
  </si>
  <si>
    <t>biopharma</t>
  </si>
  <si>
    <t>meds</t>
  </si>
  <si>
    <t>metals and mining</t>
  </si>
  <si>
    <t>banking</t>
  </si>
  <si>
    <t>banknifty</t>
  </si>
  <si>
    <t>tech and tech support</t>
  </si>
  <si>
    <t>finnifty</t>
  </si>
  <si>
    <t>beauty and essentials</t>
  </si>
  <si>
    <t>real estate and construction</t>
  </si>
  <si>
    <t>top ranked</t>
  </si>
  <si>
    <t>nifty 50</t>
  </si>
  <si>
    <t>agricultural</t>
  </si>
  <si>
    <t>automobiles and transportation</t>
  </si>
  <si>
    <t>Growth(%)</t>
  </si>
  <si>
    <t>(in millions INR)</t>
  </si>
  <si>
    <t>tax(%)</t>
  </si>
  <si>
    <t>Percentage deviation (10%)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</si>
</sst>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9">
    <numFmt numFmtId="164" formatCode="0.000"/>
    <numFmt numFmtId="165" formatCode="0.0%"/>
    <numFmt numFmtId="166" formatCode="0.000%"/>
    <numFmt numFmtId="167" formatCode="#,##0_ ;[Red]\-#,##0\ "/>
    <numFmt numFmtId="168" formatCode="0.0000000000%"/>
    <numFmt numFmtId="169" formatCode="0.0000000000000000%"/>
    <numFmt numFmtId="170" formatCode="0.00000000%"/>
    <numFmt numFmtId="171" formatCode="0.0000%"/>
    <numFmt numFmtId="172" formatCode="0.00_ ;[Red]\-0.00\ "/>
  </numFmts>
  <fonts count="6" x14ac:knownFonts="1">
    <font>
      <sz val="11"/>
      <color theme="1"/>
      <name val="Calibri"/>
      <family val="2"/>
      <scheme val="minor"/>
    </font>
    <font>
      <b/>
      <sz val="11"/>
      <color theme="1"/>
      <name val="Calibri"/>
      <family val="2"/>
      <scheme val="minor"/>
    </font>
    <font>
      <sz val="12"/>
      <color theme="1"/>
      <name val="Calibri"/>
      <family val="2"/>
      <scheme val="minor"/>
    </font>
    <font>
      <sz val="14"/>
      <color theme="1"/>
      <name val="Calibri"/>
      <family val="2"/>
      <scheme val="minor"/>
    </font>
    <font>
      <b/>
      <sz val="16"/>
      <color theme="1"/>
      <name val="Calibri"/>
      <family val="2"/>
      <scheme val="minor"/>
    </font>
    <font>
      <b/>
      <sz val="14"/>
      <color theme="1"/>
      <name val="Calibri"/>
      <family val="2"/>
      <scheme val="minor"/>
    </font>
  </fonts>
  <fills count="9">
    <fill>
      <patternFill patternType="none"/>
    </fill>
    <fill>
      <patternFill patternType="gray125"/>
    </fill>
    <fill>
      <patternFill patternType="solid">
        <fgColor theme="4" tint="0.39997558519241921"/>
        <bgColor indexed="64"/>
      </patternFill>
    </fill>
    <fill>
      <patternFill patternType="solid">
        <fgColor theme="7" tint="0.39997558519241921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theme="9" tint="0.39997558519241921"/>
        <bgColor indexed="64"/>
      </patternFill>
    </fill>
    <fill>
      <patternFill patternType="solid">
        <fgColor theme="4" tint="0.59999389629810485"/>
        <bgColor indexed="64"/>
      </patternFill>
    </fill>
    <fill>
      <patternFill patternType="solid">
        <fgColor theme="5"/>
        <bgColor indexed="64"/>
      </patternFill>
    </fill>
    <fill>
      <patternFill patternType="solid">
        <fgColor theme="5" tint="0.59999389629810485"/>
        <bgColor indexed="64"/>
      </patternFill>
    </fill>
  </fills>
  <borders count="6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/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</borders>
  <cellStyleXfs count="1">
    <xf numFmtId="0" fontId="0" fillId="0" borderId="0"/>
  </cellStyleXfs>
  <cellXfs count="62">
    <xf numFmtId="0" fontId="0" fillId="0" borderId="0" xfId="0"/>
    <xf numFmtId="0" fontId="2" fillId="0" borderId="0" xfId="0" applyFont="1"/>
    <xf numFmtId="0" fontId="3" fillId="0" borderId="0" xfId="0" applyFont="1"/>
    <xf numFmtId="3" fontId="0" fillId="0" borderId="0" xfId="0" applyNumberFormat="1"/>
    <xf numFmtId="4" fontId="0" fillId="0" borderId="0" xfId="0" applyNumberFormat="1"/>
    <xf numFmtId="0" fontId="1" fillId="0" borderId="0" xfId="0" applyFont="1"/>
    <xf numFmtId="3" fontId="1" fillId="0" borderId="0" xfId="0" applyNumberFormat="1" applyFont="1"/>
    <xf numFmtId="0" fontId="4" fillId="0" borderId="0" xfId="0" applyFont="1"/>
    <xf numFmtId="0" fontId="5" fillId="0" borderId="0" xfId="0" applyFont="1"/>
    <xf numFmtId="0" fontId="3" fillId="0" borderId="0" xfId="0" applyFont="1" applyAlignment="1">
      <alignment horizontal="center"/>
    </xf>
    <xf numFmtId="17" fontId="3" fillId="0" borderId="0" xfId="0" applyNumberFormat="1" applyFont="1"/>
    <xf numFmtId="4" fontId="3" fillId="0" borderId="0" xfId="0" applyNumberFormat="1" applyFont="1"/>
    <xf numFmtId="3" fontId="3" fillId="0" borderId="0" xfId="0" applyNumberFormat="1" applyFont="1"/>
    <xf numFmtId="4" fontId="5" fillId="0" borderId="0" xfId="0" applyNumberFormat="1" applyFont="1"/>
    <xf numFmtId="3" fontId="5" fillId="0" borderId="0" xfId="0" applyNumberFormat="1" applyFont="1"/>
    <xf numFmtId="164" fontId="3" fillId="0" borderId="0" xfId="0" applyNumberFormat="1" applyFont="1"/>
    <xf numFmtId="10" fontId="5" fillId="0" borderId="0" xfId="0" applyNumberFormat="1" applyFont="1"/>
    <xf numFmtId="165" fontId="5" fillId="0" borderId="0" xfId="0" applyNumberFormat="1" applyFont="1"/>
    <xf numFmtId="9" fontId="5" fillId="0" borderId="0" xfId="0" applyNumberFormat="1" applyFont="1"/>
    <xf numFmtId="4" fontId="5" fillId="0" borderId="0" xfId="0" quotePrefix="1" applyNumberFormat="1" applyFont="1" applyAlignment="1">
      <alignment horizontal="left"/>
    </xf>
    <xf numFmtId="4" fontId="3" fillId="0" borderId="0" xfId="0" applyNumberFormat="1" applyFont="1" applyAlignment="1">
      <alignment horizontal="center"/>
    </xf>
    <xf numFmtId="0" fontId="3" fillId="0" borderId="0" xfId="0" applyFont="1" applyAlignment="1">
      <alignment horizontal="center" wrapText="1"/>
    </xf>
    <xf numFmtId="1" fontId="5" fillId="0" borderId="0" xfId="0" applyNumberFormat="1" applyFont="1"/>
    <xf numFmtId="9" fontId="3" fillId="0" borderId="0" xfId="0" applyNumberFormat="1" applyFont="1"/>
    <xf numFmtId="167" fontId="5" fillId="0" borderId="0" xfId="0" applyNumberFormat="1" applyFont="1"/>
    <xf numFmtId="14" fontId="3" fillId="0" borderId="0" xfId="0" applyNumberFormat="1" applyFont="1"/>
    <xf numFmtId="0" fontId="3" fillId="0" borderId="0" xfId="0" applyFont="1" applyAlignment="1">
      <alignment horizontal="left" wrapText="1"/>
    </xf>
    <xf numFmtId="166" fontId="3" fillId="0" borderId="0" xfId="0" applyNumberFormat="1" applyFont="1"/>
    <xf numFmtId="0" fontId="5" fillId="0" borderId="0" xfId="0" applyFont="1" applyAlignment="1">
      <alignment horizontal="right"/>
    </xf>
    <xf numFmtId="0" fontId="5" fillId="2" borderId="1" xfId="0" applyFont="1" applyFill="1" applyBorder="1"/>
    <xf numFmtId="0" fontId="5" fillId="2" borderId="1" xfId="0" applyFont="1" applyFill="1" applyBorder="1" applyAlignment="1">
      <alignment horizontal="right"/>
    </xf>
    <xf numFmtId="0" fontId="5" fillId="3" borderId="1" xfId="0" applyFont="1" applyFill="1" applyBorder="1"/>
    <xf numFmtId="2" fontId="5" fillId="4" borderId="1" xfId="0" applyNumberFormat="1" applyFont="1" applyFill="1" applyBorder="1"/>
    <xf numFmtId="10" fontId="5" fillId="4" borderId="1" xfId="0" applyNumberFormat="1" applyFont="1" applyFill="1" applyBorder="1"/>
    <xf numFmtId="0" fontId="5" fillId="5" borderId="1" xfId="0" applyFont="1" applyFill="1" applyBorder="1"/>
    <xf numFmtId="0" fontId="5" fillId="0" borderId="1" xfId="0" applyFont="1" applyBorder="1"/>
    <xf numFmtId="10" fontId="5" fillId="0" borderId="1" xfId="0" applyNumberFormat="1" applyFont="1" applyBorder="1"/>
    <xf numFmtId="10" fontId="5" fillId="2" borderId="1" xfId="0" applyNumberFormat="1" applyFont="1" applyFill="1" applyBorder="1"/>
    <xf numFmtId="0" fontId="5" fillId="6" borderId="1" xfId="0" applyFont="1" applyFill="1" applyBorder="1" applyAlignment="1">
      <alignment horizontal="right"/>
    </xf>
    <xf numFmtId="168" fontId="5" fillId="0" borderId="1" xfId="0" applyNumberFormat="1" applyFont="1" applyBorder="1"/>
    <xf numFmtId="0" fontId="5" fillId="0" borderId="1" xfId="0" applyFont="1" applyBorder="1" applyAlignment="1">
      <alignment horizontal="center"/>
    </xf>
    <xf numFmtId="169" fontId="5" fillId="0" borderId="1" xfId="0" applyNumberFormat="1" applyFont="1" applyBorder="1"/>
    <xf numFmtId="10" fontId="5" fillId="7" borderId="1" xfId="0" applyNumberFormat="1" applyFont="1" applyFill="1" applyBorder="1"/>
    <xf numFmtId="170" fontId="5" fillId="0" borderId="1" xfId="0" applyNumberFormat="1" applyFont="1" applyBorder="1"/>
    <xf numFmtId="0" fontId="5" fillId="0" borderId="2" xfId="0" applyFont="1" applyBorder="1"/>
    <xf numFmtId="170" fontId="5" fillId="0" borderId="3" xfId="0" applyNumberFormat="1" applyFont="1" applyBorder="1"/>
    <xf numFmtId="0" fontId="5" fillId="0" borderId="4" xfId="0" applyFont="1" applyBorder="1"/>
    <xf numFmtId="171" fontId="5" fillId="0" borderId="1" xfId="0" applyNumberFormat="1" applyFont="1" applyBorder="1"/>
    <xf numFmtId="170" fontId="5" fillId="3" borderId="1" xfId="0" applyNumberFormat="1" applyFont="1" applyFill="1" applyBorder="1"/>
    <xf numFmtId="0" fontId="5" fillId="0" borderId="5" xfId="0" applyFont="1" applyBorder="1"/>
    <xf numFmtId="10" fontId="5" fillId="8" borderId="0" xfId="0" applyNumberFormat="1" applyFont="1" applyFill="1"/>
    <xf numFmtId="0" fontId="5" fillId="8" borderId="1" xfId="0" applyFont="1" applyFill="1" applyBorder="1"/>
    <xf numFmtId="171" fontId="5" fillId="3" borderId="1" xfId="0" applyNumberFormat="1" applyFont="1" applyFill="1" applyBorder="1"/>
    <xf numFmtId="1" fontId="5" fillId="3" borderId="1" xfId="0" applyNumberFormat="1" applyFont="1" applyFill="1" applyBorder="1"/>
    <xf numFmtId="0" fontId="3" fillId="0" borderId="0" xfId="0" applyFont="1" applyAlignment="1">
      <alignment horizontal="right"/>
    </xf>
    <xf numFmtId="0" fontId="5" fillId="0" borderId="0" xfId="0" applyFont="1" applyAlignment="1">
      <alignment horizontal="left"/>
    </xf>
    <xf numFmtId="0" fontId="5" fillId="0" borderId="0" xfId="0" quotePrefix="1" applyFont="1" applyAlignment="1">
      <alignment horizontal="right"/>
    </xf>
    <xf numFmtId="10" fontId="3" fillId="0" borderId="0" xfId="0" applyNumberFormat="1" applyFont="1"/>
    <xf numFmtId="0" fontId="5" fillId="0" borderId="0" xfId="0" quotePrefix="1" applyFont="1" applyAlignment="1">
      <alignment horizontal="left"/>
    </xf>
    <xf numFmtId="1" fontId="3" fillId="0" borderId="0" xfId="0" applyNumberFormat="1" applyFont="1"/>
    <xf numFmtId="2" fontId="5" fillId="0" borderId="0" xfId="0" applyNumberFormat="1" applyFont="1"/>
    <xf numFmtId="172" fontId="5" fillId="0" borderId="0" xfId="0" applyNumberFormat="1" applyFont="1"/>
  </cellXfs>
  <cellStyles count="1">
    <cellStyle name="Normal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sheetMetadata" Target="metadata.xml"/><Relationship Id="rId3" Type="http://schemas.openxmlformats.org/officeDocument/2006/relationships/worksheet" Target="worksheets/sheet3.xml"/><Relationship Id="rId7" Type="http://schemas.openxmlformats.org/officeDocument/2006/relationships/sharedStrings" Target="sharedString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tyles" Target="styles.xml"/><Relationship Id="rId5" Type="http://schemas.openxmlformats.org/officeDocument/2006/relationships/theme" Target="theme/theme1.xml"/><Relationship Id="rId10" Type="http://schemas.microsoft.com/office/2006/relationships/vbaProject" Target="vbaProject.bin"/><Relationship Id="rId4" Type="http://schemas.openxmlformats.org/officeDocument/2006/relationships/worksheet" Target="worksheets/sheet4.xml"/><Relationship Id="rId9" Type="http://schemas.openxmlformats.org/officeDocument/2006/relationships/calcChain" Target="calcChain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32</xdr:col>
      <xdr:colOff>0</xdr:colOff>
      <xdr:row>0</xdr:row>
      <xdr:rowOff>60960</xdr:rowOff>
    </xdr:from>
    <xdr:to>
      <xdr:col>32</xdr:col>
      <xdr:colOff>7620</xdr:colOff>
      <xdr:row>59</xdr:row>
      <xdr:rowOff>144780</xdr:rowOff>
    </xdr:to>
    <xdr:cxnSp macro="">
      <xdr:nvCxnSpPr>
        <xdr:cNvPr id="3" name="Straight Connector 2">
          <a:extLst>
            <a:ext uri="{FF2B5EF4-FFF2-40B4-BE49-F238E27FC236}">
              <a16:creationId xmlns:a16="http://schemas.microsoft.com/office/drawing/2014/main" id="{02F6975E-D377-A9EE-9605-766C776424AE}"/>
            </a:ext>
          </a:extLst>
        </xdr:cNvPr>
        <xdr:cNvCxnSpPr/>
      </xdr:nvCxnSpPr>
      <xdr:spPr>
        <a:xfrm>
          <a:off x="29253180" y="60960"/>
          <a:ext cx="7620" cy="13548360"/>
        </a:xfrm>
        <a:prstGeom prst="line">
          <a:avLst/>
        </a:prstGeom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oneCellAnchor>
    <xdr:from>
      <xdr:col>110</xdr:col>
      <xdr:colOff>649941</xdr:colOff>
      <xdr:row>27</xdr:row>
      <xdr:rowOff>67235</xdr:rowOff>
    </xdr:from>
    <xdr:ext cx="2765612" cy="1394012"/>
    <xdr:sp macro="" textlink="">
      <xdr:nvSpPr>
        <xdr:cNvPr id="2" name="TextBox 1">
          <a:extLst>
            <a:ext uri="{FF2B5EF4-FFF2-40B4-BE49-F238E27FC236}">
              <a16:creationId xmlns:a16="http://schemas.microsoft.com/office/drawing/2014/main" id="{9B1D0DDB-7D2E-5488-A6B3-6DFB0C357100}"/>
            </a:ext>
          </a:extLst>
        </xdr:cNvPr>
        <xdr:cNvSpPr txBox="1"/>
      </xdr:nvSpPr>
      <xdr:spPr>
        <a:xfrm>
          <a:off x="90897635" y="6369423"/>
          <a:ext cx="2765612" cy="1394012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square" lIns="0" tIns="0" rIns="0" bIns="0" rtlCol="0" anchor="t">
          <a:noAutofit/>
        </a:bodyPr>
        <a:lstStyle/>
        <a:p>
          <a:endParaRPr lang="en-IN" sz="1100" kern="1200"/>
        </a:p>
      </xdr:txBody>
    </xdr:sp>
    <xdr:clientData/>
  </xdr:one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>
    <xdr:from>
      <xdr:col>3</xdr:col>
      <xdr:colOff>905435</xdr:colOff>
      <xdr:row>22</xdr:row>
      <xdr:rowOff>85805</xdr:rowOff>
    </xdr:from>
    <xdr:to>
      <xdr:col>3</xdr:col>
      <xdr:colOff>1721223</xdr:colOff>
      <xdr:row>22</xdr:row>
      <xdr:rowOff>94770</xdr:rowOff>
    </xdr:to>
    <xdr:cxnSp macro="">
      <xdr:nvCxnSpPr>
        <xdr:cNvPr id="3" name="Straight Arrow Connector 2">
          <a:extLst>
            <a:ext uri="{FF2B5EF4-FFF2-40B4-BE49-F238E27FC236}">
              <a16:creationId xmlns:a16="http://schemas.microsoft.com/office/drawing/2014/main" id="{6A0BBEBE-F3FB-4407-96F6-1D15D5A44B6D}"/>
            </a:ext>
          </a:extLst>
        </xdr:cNvPr>
        <xdr:cNvCxnSpPr/>
      </xdr:nvCxnSpPr>
      <xdr:spPr>
        <a:xfrm>
          <a:off x="6087035" y="4977845"/>
          <a:ext cx="815788" cy="8965"/>
        </a:xfrm>
        <a:prstGeom prst="straightConnector1">
          <a:avLst/>
        </a:prstGeom>
        <a:ln>
          <a:tailEnd type="triangl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2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2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61CCB75-CF23-46A0-A34C-FF10EB458E82}">
  <sheetPr codeName="Sheet1"/>
  <dimension ref="B2:N13"/>
  <sheetViews>
    <sheetView zoomScale="96" zoomScaleNormal="96" workbookViewId="0">
      <selection activeCell="M11" sqref="M11"/>
    </sheetView>
  </sheetViews>
  <sheetFormatPr defaultRowHeight="14.4" x14ac:dyDescent="0.3"/>
  <cols>
    <col min="2" max="2" width="28.77734375" customWidth="1"/>
    <col min="5" max="5" width="10.5546875" customWidth="1"/>
    <col min="9" max="9" width="12.77734375" customWidth="1"/>
    <col min="10" max="10" width="12.21875" customWidth="1"/>
    <col min="11" max="11" width="19.44140625" customWidth="1"/>
    <col min="12" max="12" width="16.109375" bestFit="1" customWidth="1"/>
    <col min="14" max="14" width="16.6640625" customWidth="1"/>
  </cols>
  <sheetData>
    <row r="2" spans="2:14" ht="18" x14ac:dyDescent="0.35">
      <c r="K2" s="2" t="s">
        <v>0</v>
      </c>
      <c r="L2" s="6">
        <v>1627</v>
      </c>
    </row>
    <row r="3" spans="2:14" ht="21" x14ac:dyDescent="0.4">
      <c r="B3" s="7" t="s">
        <v>7</v>
      </c>
      <c r="C3" s="1"/>
      <c r="D3" s="1"/>
      <c r="E3" s="1"/>
      <c r="K3" s="2" t="s">
        <v>1</v>
      </c>
      <c r="L3" s="6">
        <v>5786151369</v>
      </c>
      <c r="M3" s="1" t="s">
        <v>15</v>
      </c>
      <c r="N3" s="3">
        <v>5786151369</v>
      </c>
    </row>
    <row r="4" spans="2:14" ht="18" x14ac:dyDescent="0.35">
      <c r="B4" s="1" t="s">
        <v>8</v>
      </c>
      <c r="C4" s="1" t="s">
        <v>9</v>
      </c>
      <c r="D4" s="1" t="s">
        <v>10</v>
      </c>
      <c r="E4" s="1" t="s">
        <v>11</v>
      </c>
      <c r="K4" s="2" t="s">
        <v>3</v>
      </c>
      <c r="L4" s="6">
        <v>974403</v>
      </c>
      <c r="M4" s="1" t="s">
        <v>15</v>
      </c>
      <c r="N4" s="4">
        <f>N3*L2/10000000</f>
        <v>941406.82773629995</v>
      </c>
    </row>
    <row r="5" spans="2:14" ht="18" x14ac:dyDescent="0.35">
      <c r="B5" t="s">
        <v>12</v>
      </c>
      <c r="K5" s="2" t="s">
        <v>4</v>
      </c>
      <c r="L5" s="5">
        <f>47380*1000000/10000000</f>
        <v>4738</v>
      </c>
      <c r="M5" s="1" t="s">
        <v>15</v>
      </c>
      <c r="N5" s="4"/>
    </row>
    <row r="6" spans="2:14" ht="18" x14ac:dyDescent="0.35">
      <c r="B6" t="s">
        <v>13</v>
      </c>
      <c r="K6" s="2" t="s">
        <v>5</v>
      </c>
      <c r="L6" s="5">
        <f>155976*1000000/10000000</f>
        <v>15597.6</v>
      </c>
      <c r="M6" s="1" t="s">
        <v>15</v>
      </c>
    </row>
    <row r="7" spans="2:14" ht="18" x14ac:dyDescent="0.35">
      <c r="B7" t="s">
        <v>14</v>
      </c>
      <c r="K7" s="2" t="s">
        <v>6</v>
      </c>
      <c r="L7" s="6">
        <f>L4+L6-L5</f>
        <v>985262.6</v>
      </c>
      <c r="M7" s="1" t="s">
        <v>15</v>
      </c>
    </row>
    <row r="8" spans="2:14" ht="18" x14ac:dyDescent="0.35">
      <c r="K8" s="2"/>
      <c r="L8" s="5"/>
      <c r="M8" s="1"/>
    </row>
    <row r="9" spans="2:14" ht="18" x14ac:dyDescent="0.35">
      <c r="K9" s="2" t="s">
        <v>2</v>
      </c>
      <c r="L9" s="6">
        <f>L7*10000000/L3</f>
        <v>1702.7943743032072</v>
      </c>
      <c r="M9" s="1" t="s">
        <v>15</v>
      </c>
    </row>
    <row r="12" spans="2:14" ht="15.6" x14ac:dyDescent="0.3">
      <c r="E12" s="1"/>
    </row>
    <row r="13" spans="2:14" x14ac:dyDescent="0.3">
      <c r="L13" s="3"/>
    </row>
  </sheetData>
  <pageMargins left="0.7" right="0.7" top="0.75" bottom="0.75" header="0.3" footer="0.3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D1BC77D-C40C-4FC7-A540-38F03746BE2A}">
  <sheetPr codeName="Sheet2"/>
  <dimension ref="A1:DO57"/>
  <sheetViews>
    <sheetView tabSelected="1" zoomScale="51" zoomScaleNormal="85" workbookViewId="0">
      <pane xSplit="2" ySplit="3" topLeftCell="G32" activePane="bottomRight" state="frozen"/>
      <selection pane="topRight" activeCell="C1" sqref="C1"/>
      <selection pane="bottomLeft" activeCell="A4" sqref="A4"/>
      <selection pane="bottomRight" activeCell="P22" sqref="P22"/>
    </sheetView>
  </sheetViews>
  <sheetFormatPr defaultRowHeight="18" x14ac:dyDescent="0.35"/>
  <cols>
    <col min="1" max="1" width="16.77734375" style="2" customWidth="1"/>
    <col min="2" max="2" width="13.33203125" style="2" customWidth="1"/>
    <col min="3" max="4" width="8.88671875" style="2"/>
    <col min="5" max="5" width="13.77734375" style="2" bestFit="1" customWidth="1"/>
    <col min="6" max="6" width="18.21875" style="2" customWidth="1"/>
    <col min="7" max="7" width="18.33203125" style="2" customWidth="1"/>
    <col min="8" max="8" width="15.77734375" style="2" customWidth="1"/>
    <col min="9" max="9" width="14" style="2" customWidth="1"/>
    <col min="10" max="10" width="13.77734375" style="2" bestFit="1" customWidth="1"/>
    <col min="11" max="12" width="11.6640625" style="2" bestFit="1" customWidth="1"/>
    <col min="13" max="13" width="15.21875" style="2" customWidth="1"/>
    <col min="14" max="14" width="11.6640625" style="2" bestFit="1" customWidth="1"/>
    <col min="15" max="15" width="11.77734375" style="2" customWidth="1"/>
    <col min="16" max="16" width="13.77734375" style="2" bestFit="1" customWidth="1"/>
    <col min="17" max="17" width="13.33203125" style="2" customWidth="1"/>
    <col min="18" max="18" width="11.5546875" style="2" customWidth="1"/>
    <col min="19" max="19" width="12.77734375" style="2" customWidth="1"/>
    <col min="20" max="20" width="14" style="2" customWidth="1"/>
    <col min="21" max="26" width="12.21875" style="2" customWidth="1"/>
    <col min="27" max="27" width="13.109375" style="2" customWidth="1"/>
    <col min="28" max="28" width="18" style="2" customWidth="1"/>
    <col min="29" max="29" width="15" style="2" customWidth="1"/>
    <col min="30" max="30" width="14" style="2" customWidth="1"/>
    <col min="31" max="31" width="13.77734375" style="2" bestFit="1" customWidth="1"/>
    <col min="32" max="33" width="11.6640625" style="2" bestFit="1" customWidth="1"/>
    <col min="34" max="34" width="11.77734375" style="2" customWidth="1"/>
    <col min="35" max="35" width="12.44140625" style="2" customWidth="1"/>
    <col min="36" max="36" width="14.88671875" style="2" customWidth="1"/>
    <col min="37" max="38" width="13.88671875" style="2" customWidth="1"/>
    <col min="39" max="39" width="14.21875" style="2" customWidth="1"/>
    <col min="40" max="40" width="17.5546875" style="2" customWidth="1"/>
    <col min="41" max="41" width="15" style="2" customWidth="1"/>
    <col min="42" max="42" width="13.109375" style="2" bestFit="1" customWidth="1"/>
    <col min="43" max="43" width="13.33203125" style="2" bestFit="1" customWidth="1"/>
    <col min="44" max="44" width="15.44140625" style="2" customWidth="1"/>
    <col min="45" max="45" width="21.77734375" style="2" customWidth="1"/>
    <col min="46" max="108" width="13.109375" style="2" bestFit="1" customWidth="1"/>
    <col min="109" max="109" width="13.109375" style="2" customWidth="1"/>
    <col min="110" max="119" width="13.109375" style="2" bestFit="1" customWidth="1"/>
    <col min="120" max="16384" width="8.88671875" style="2"/>
  </cols>
  <sheetData>
    <row r="1" spans="1:45" x14ac:dyDescent="0.35">
      <c r="L1" s="2" t="s">
        <v>55</v>
      </c>
    </row>
    <row r="2" spans="1:45" x14ac:dyDescent="0.35">
      <c r="A2" s="58" t="s">
        <v>137</v>
      </c>
      <c r="P2" s="2" t="s">
        <v>65</v>
      </c>
      <c r="Q2" s="2" t="s">
        <v>65</v>
      </c>
      <c r="R2" s="2" t="s">
        <v>65</v>
      </c>
      <c r="S2" s="2" t="s">
        <v>65</v>
      </c>
      <c r="T2" s="2" t="s">
        <v>65</v>
      </c>
      <c r="U2" s="2" t="s">
        <v>65</v>
      </c>
      <c r="AG2" s="9" t="s">
        <v>56</v>
      </c>
      <c r="AH2" s="9" t="s">
        <v>56</v>
      </c>
      <c r="AI2" s="9" t="s">
        <v>56</v>
      </c>
      <c r="AJ2" s="9" t="s">
        <v>56</v>
      </c>
      <c r="AK2" s="9" t="s">
        <v>56</v>
      </c>
      <c r="AL2" s="9" t="s">
        <v>56</v>
      </c>
      <c r="AM2" s="9" t="s">
        <v>56</v>
      </c>
      <c r="AN2" s="9" t="s">
        <v>56</v>
      </c>
      <c r="AS2" s="54" t="s">
        <v>78</v>
      </c>
    </row>
    <row r="3" spans="1:45" x14ac:dyDescent="0.35">
      <c r="E3" s="10">
        <f t="shared" ref="E3:F3" si="0">I3-365</f>
        <v>44652</v>
      </c>
      <c r="F3" s="10">
        <f t="shared" si="0"/>
        <v>44713</v>
      </c>
      <c r="G3" s="10">
        <f>K3-365</f>
        <v>44805</v>
      </c>
      <c r="H3" s="10">
        <v>44896</v>
      </c>
      <c r="I3" s="10">
        <v>45017</v>
      </c>
      <c r="J3" s="10">
        <v>45078</v>
      </c>
      <c r="K3" s="10">
        <v>45170</v>
      </c>
      <c r="L3" s="10">
        <v>45261</v>
      </c>
      <c r="M3" s="10">
        <v>45383</v>
      </c>
      <c r="N3" s="10">
        <v>45444</v>
      </c>
      <c r="O3" s="10">
        <v>45536</v>
      </c>
      <c r="P3" s="10">
        <v>45627</v>
      </c>
      <c r="Q3" s="10">
        <v>45717</v>
      </c>
      <c r="R3" s="10">
        <v>45809</v>
      </c>
      <c r="S3" s="10">
        <v>45901</v>
      </c>
      <c r="T3" s="10">
        <v>45992</v>
      </c>
      <c r="U3" s="10">
        <v>46082</v>
      </c>
      <c r="V3" s="10"/>
      <c r="W3" s="10"/>
      <c r="X3" s="2">
        <f t="shared" ref="X3:Y3" si="1">Y3-1</f>
        <v>2016</v>
      </c>
      <c r="Y3" s="2">
        <f t="shared" si="1"/>
        <v>2017</v>
      </c>
      <c r="Z3" s="2">
        <f>AA3-1</f>
        <v>2018</v>
      </c>
      <c r="AA3" s="2">
        <v>2019</v>
      </c>
      <c r="AB3" s="2">
        <v>2020</v>
      </c>
      <c r="AC3" s="2">
        <f>AB3+1</f>
        <v>2021</v>
      </c>
      <c r="AD3" s="2">
        <f t="shared" ref="AD3:AN3" si="2">AC3+1</f>
        <v>2022</v>
      </c>
      <c r="AE3" s="2">
        <f t="shared" si="2"/>
        <v>2023</v>
      </c>
      <c r="AF3" s="2">
        <f t="shared" si="2"/>
        <v>2024</v>
      </c>
      <c r="AG3" s="2">
        <f>AF3+1</f>
        <v>2025</v>
      </c>
      <c r="AH3" s="2">
        <f t="shared" si="2"/>
        <v>2026</v>
      </c>
      <c r="AI3" s="2">
        <f t="shared" si="2"/>
        <v>2027</v>
      </c>
      <c r="AJ3" s="2">
        <f t="shared" si="2"/>
        <v>2028</v>
      </c>
      <c r="AK3" s="2">
        <f t="shared" si="2"/>
        <v>2029</v>
      </c>
      <c r="AL3" s="2">
        <f t="shared" si="2"/>
        <v>2030</v>
      </c>
      <c r="AM3" s="2">
        <f t="shared" si="2"/>
        <v>2031</v>
      </c>
      <c r="AN3" s="2">
        <f t="shared" si="2"/>
        <v>2032</v>
      </c>
      <c r="AR3" s="25">
        <v>45632</v>
      </c>
      <c r="AS3" s="2">
        <v>1600</v>
      </c>
    </row>
    <row r="4" spans="1:45" x14ac:dyDescent="0.35">
      <c r="A4" s="11" t="s">
        <v>49</v>
      </c>
      <c r="B4" s="11"/>
      <c r="C4" s="11"/>
      <c r="D4" s="11"/>
      <c r="E4" s="11"/>
      <c r="F4" s="11"/>
      <c r="G4" s="11"/>
      <c r="H4" s="11"/>
      <c r="I4" s="11"/>
      <c r="J4" s="11"/>
      <c r="K4" s="11"/>
      <c r="L4" s="11"/>
      <c r="M4" s="12">
        <v>220657</v>
      </c>
      <c r="N4" s="12">
        <v>225274</v>
      </c>
      <c r="O4" s="12">
        <f>248371</f>
        <v>248371</v>
      </c>
      <c r="P4" s="10"/>
      <c r="Q4" s="10"/>
      <c r="R4" s="10"/>
      <c r="S4" s="10"/>
      <c r="T4" s="10"/>
      <c r="AE4" s="12">
        <f t="shared" ref="AE4:AE7" si="3">SUM(I4:L4)</f>
        <v>0</v>
      </c>
      <c r="AF4" s="12">
        <f>SUM(N4:Q4)</f>
        <v>473645</v>
      </c>
      <c r="AP4" s="55" t="s">
        <v>71</v>
      </c>
      <c r="AQ4" s="28" t="s">
        <v>73</v>
      </c>
      <c r="AR4" s="28" t="s">
        <v>74</v>
      </c>
      <c r="AS4" s="56" t="s">
        <v>136</v>
      </c>
    </row>
    <row r="5" spans="1:45" ht="19.2" customHeight="1" x14ac:dyDescent="0.35">
      <c r="A5" s="11" t="s">
        <v>50</v>
      </c>
      <c r="B5" s="11"/>
      <c r="C5" s="11"/>
      <c r="D5" s="11"/>
      <c r="E5" s="11"/>
      <c r="F5" s="11"/>
      <c r="G5" s="11"/>
      <c r="H5" s="11"/>
      <c r="I5" s="11"/>
      <c r="J5" s="11"/>
      <c r="K5" s="11"/>
      <c r="L5" s="11"/>
      <c r="M5" s="12">
        <f>92933+961</f>
        <v>93894</v>
      </c>
      <c r="N5" s="12">
        <f>96369+941</f>
        <v>97310</v>
      </c>
      <c r="O5" s="12">
        <f>101631</f>
        <v>101631</v>
      </c>
      <c r="P5" s="10"/>
      <c r="Q5" s="10"/>
      <c r="R5" s="10"/>
      <c r="S5" s="10"/>
      <c r="T5" s="10"/>
      <c r="AE5" s="12">
        <f t="shared" si="3"/>
        <v>0</v>
      </c>
      <c r="AF5" s="12">
        <f t="shared" ref="AF5:AF7" si="4">SUM(N5:Q5)</f>
        <v>198941</v>
      </c>
      <c r="AI5" s="8"/>
      <c r="AJ5" s="8">
        <f>AS31*1000000/AS33</f>
        <v>1222.4521434308101</v>
      </c>
      <c r="AP5" s="26" t="s">
        <v>72</v>
      </c>
      <c r="AQ5" s="23">
        <v>0.1</v>
      </c>
      <c r="AR5" s="2">
        <v>1603.25</v>
      </c>
      <c r="AS5" s="27">
        <f>AR5/$AS3-1</f>
        <v>2.0312499999999289E-3</v>
      </c>
    </row>
    <row r="6" spans="1:45" x14ac:dyDescent="0.35">
      <c r="A6" s="11" t="s">
        <v>51</v>
      </c>
      <c r="B6" s="11"/>
      <c r="C6" s="11"/>
      <c r="D6" s="11"/>
      <c r="E6" s="11"/>
      <c r="F6" s="11"/>
      <c r="G6" s="11"/>
      <c r="H6" s="11"/>
      <c r="I6" s="11"/>
      <c r="J6" s="11"/>
      <c r="K6" s="11"/>
      <c r="L6" s="11"/>
      <c r="M6" s="12">
        <v>7693</v>
      </c>
      <c r="N6" s="12">
        <f>7771</f>
        <v>7771</v>
      </c>
      <c r="O6" s="12">
        <f>7586</f>
        <v>7586</v>
      </c>
      <c r="P6" s="10"/>
      <c r="Q6" s="10"/>
      <c r="R6" s="10"/>
      <c r="S6" s="10"/>
      <c r="T6" s="10"/>
      <c r="AE6" s="12">
        <f t="shared" si="3"/>
        <v>0</v>
      </c>
      <c r="AF6" s="12">
        <f t="shared" si="4"/>
        <v>15357</v>
      </c>
      <c r="AP6" s="2" t="s">
        <v>75</v>
      </c>
      <c r="AQ6" s="23">
        <v>0.12</v>
      </c>
      <c r="AR6" s="2">
        <v>2305</v>
      </c>
      <c r="AS6" s="27">
        <f>AR6/$AS3-1</f>
        <v>0.44062500000000004</v>
      </c>
    </row>
    <row r="7" spans="1:45" x14ac:dyDescent="0.35">
      <c r="A7" s="11" t="s">
        <v>52</v>
      </c>
      <c r="B7" s="11"/>
      <c r="C7" s="11"/>
      <c r="D7" s="11"/>
      <c r="E7" s="11"/>
      <c r="F7" s="11"/>
      <c r="G7" s="11"/>
      <c r="H7" s="11"/>
      <c r="I7" s="11"/>
      <c r="J7" s="11"/>
      <c r="K7" s="11"/>
      <c r="L7" s="11"/>
      <c r="M7" s="12">
        <f>54616+13155</f>
        <v>67771</v>
      </c>
      <c r="N7" s="12">
        <f>54765+13670</f>
        <v>68435</v>
      </c>
      <c r="O7" s="12">
        <f>56555+14321</f>
        <v>70876</v>
      </c>
      <c r="P7" s="10"/>
      <c r="Q7" s="10"/>
      <c r="R7" s="10"/>
      <c r="S7" s="10"/>
      <c r="T7" s="10"/>
      <c r="U7" s="57"/>
      <c r="V7" s="57"/>
      <c r="W7" s="57"/>
      <c r="X7" s="57"/>
      <c r="Y7" s="57"/>
      <c r="Z7" s="57"/>
      <c r="AE7" s="12">
        <f t="shared" si="3"/>
        <v>0</v>
      </c>
      <c r="AF7" s="12">
        <f t="shared" si="4"/>
        <v>139311</v>
      </c>
      <c r="AP7" s="2" t="s">
        <v>76</v>
      </c>
      <c r="AQ7" s="23">
        <v>0.08</v>
      </c>
      <c r="AR7" s="2">
        <v>967</v>
      </c>
      <c r="AS7" s="27">
        <f>AR7/$AS3-1</f>
        <v>-0.395625</v>
      </c>
    </row>
    <row r="8" spans="1:45" x14ac:dyDescent="0.35">
      <c r="A8" s="11"/>
      <c r="B8" s="11"/>
      <c r="C8" s="11"/>
      <c r="D8" s="11"/>
      <c r="E8" s="11"/>
      <c r="F8" s="11"/>
      <c r="G8" s="11"/>
      <c r="H8" s="11"/>
      <c r="I8" s="11"/>
      <c r="J8" s="11"/>
      <c r="K8" s="11"/>
      <c r="L8" s="11"/>
      <c r="M8" s="11"/>
      <c r="N8" s="12"/>
      <c r="O8" s="12"/>
      <c r="P8" s="10"/>
      <c r="Q8" s="10"/>
      <c r="R8" s="10"/>
      <c r="S8" s="10"/>
      <c r="T8" s="10"/>
      <c r="AB8" s="57">
        <f>AE10/AD10-1</f>
        <v>0.19389533312340346</v>
      </c>
      <c r="AC8" s="57">
        <f>AF10/AE10-1</f>
        <v>0.24940812736084994</v>
      </c>
      <c r="AE8" s="12"/>
      <c r="AF8" s="14">
        <f>AF10</f>
        <v>1738486.44</v>
      </c>
      <c r="AP8" s="2" t="s">
        <v>77</v>
      </c>
      <c r="AQ8" s="23">
        <v>0.09</v>
      </c>
      <c r="AR8" s="2">
        <v>1277</v>
      </c>
      <c r="AS8" s="27">
        <f>AR8/$AS3-1</f>
        <v>-0.20187500000000003</v>
      </c>
    </row>
    <row r="9" spans="1:45" x14ac:dyDescent="0.35">
      <c r="A9" s="11"/>
      <c r="B9" s="11"/>
      <c r="C9" s="11"/>
      <c r="D9" s="11"/>
      <c r="E9" s="11"/>
      <c r="F9" s="11"/>
      <c r="G9" s="11"/>
      <c r="H9" s="11"/>
      <c r="I9" s="11"/>
      <c r="J9" s="11"/>
      <c r="K9" s="11"/>
      <c r="L9" s="11"/>
      <c r="M9" s="11"/>
      <c r="N9" s="12"/>
      <c r="O9" s="12"/>
      <c r="P9" s="10"/>
      <c r="Q9" s="10"/>
      <c r="R9" s="10"/>
      <c r="S9" s="10"/>
      <c r="T9" s="10"/>
      <c r="AE9" s="23">
        <f>AE10/AD10-1</f>
        <v>0.19389533312340346</v>
      </c>
      <c r="AF9" s="23">
        <f>AF8/AE10-1</f>
        <v>0.24940812736084994</v>
      </c>
      <c r="AQ9" s="23"/>
    </row>
    <row r="10" spans="1:45" x14ac:dyDescent="0.35">
      <c r="A10" s="11" t="s">
        <v>7</v>
      </c>
      <c r="B10" s="11"/>
      <c r="C10" s="11"/>
      <c r="D10" s="11"/>
      <c r="E10" s="11">
        <v>315189</v>
      </c>
      <c r="F10" s="11">
        <v>328046</v>
      </c>
      <c r="G10" s="11">
        <v>347287</v>
      </c>
      <c r="H10" s="11">
        <v>358044</v>
      </c>
      <c r="I10" s="11">
        <v>360090</v>
      </c>
      <c r="J10" s="11">
        <v>374400</v>
      </c>
      <c r="K10" s="12">
        <v>370438</v>
      </c>
      <c r="L10" s="12">
        <v>378995</v>
      </c>
      <c r="M10" s="12">
        <v>375991</v>
      </c>
      <c r="N10" s="12">
        <v>385064</v>
      </c>
      <c r="O10" s="12">
        <f>414733</f>
        <v>414733</v>
      </c>
      <c r="P10" s="12">
        <v>451293</v>
      </c>
      <c r="Q10" s="12">
        <f t="shared" ref="Q10:U10" si="5">0.08*P10+P10</f>
        <v>487396.44</v>
      </c>
      <c r="R10" s="12">
        <f t="shared" si="5"/>
        <v>526388.15520000004</v>
      </c>
      <c r="S10" s="12">
        <f t="shared" si="5"/>
        <v>568499.20761600009</v>
      </c>
      <c r="T10" s="12">
        <f t="shared" si="5"/>
        <v>613979.14422528003</v>
      </c>
      <c r="U10" s="12">
        <f t="shared" si="5"/>
        <v>663097.47576330241</v>
      </c>
      <c r="V10" s="12"/>
      <c r="W10" s="12"/>
      <c r="X10" s="12"/>
      <c r="Y10" s="12"/>
      <c r="Z10" s="12"/>
      <c r="AA10" s="11"/>
      <c r="AD10" s="12">
        <v>1165469</v>
      </c>
      <c r="AE10" s="12">
        <v>1391448</v>
      </c>
      <c r="AF10" s="12">
        <f>SUM(N10:Q10)</f>
        <v>1738486.44</v>
      </c>
      <c r="AG10" s="12">
        <f>0.1*AF8+AF8</f>
        <v>1912335.084</v>
      </c>
      <c r="AH10" s="12">
        <f t="shared" ref="AH10:AN10" si="6">0.1*AG10+AG10</f>
        <v>2103568.5924</v>
      </c>
      <c r="AI10" s="12">
        <f t="shared" si="6"/>
        <v>2313925.4516400001</v>
      </c>
      <c r="AJ10" s="12">
        <f t="shared" si="6"/>
        <v>2545317.9968039999</v>
      </c>
      <c r="AK10" s="12">
        <f t="shared" si="6"/>
        <v>2799849.7964844001</v>
      </c>
      <c r="AL10" s="12">
        <f t="shared" si="6"/>
        <v>3079834.7761328402</v>
      </c>
      <c r="AM10" s="12">
        <f t="shared" si="6"/>
        <v>3387818.253746124</v>
      </c>
      <c r="AN10" s="12">
        <f t="shared" si="6"/>
        <v>3726600.0791207366</v>
      </c>
    </row>
    <row r="11" spans="1:45" x14ac:dyDescent="0.35">
      <c r="A11" s="11" t="s">
        <v>16</v>
      </c>
      <c r="B11" s="11"/>
      <c r="C11" s="11"/>
      <c r="D11" s="11"/>
      <c r="E11" s="11">
        <v>186</v>
      </c>
      <c r="F11" s="11">
        <v>1922</v>
      </c>
      <c r="G11" s="11">
        <v>2019</v>
      </c>
      <c r="H11" s="11">
        <v>2576</v>
      </c>
      <c r="I11" s="11">
        <v>2849</v>
      </c>
      <c r="J11" s="11">
        <v>3843</v>
      </c>
      <c r="K11" s="12">
        <v>3304</v>
      </c>
      <c r="L11" s="12">
        <v>4398</v>
      </c>
      <c r="M11" s="12">
        <v>3169</v>
      </c>
      <c r="N11" s="12">
        <f>3635</f>
        <v>3635</v>
      </c>
      <c r="O11" s="12">
        <f>2547</f>
        <v>2547</v>
      </c>
      <c r="P11" s="12">
        <v>4697</v>
      </c>
      <c r="Q11" s="12">
        <f t="shared" ref="P11:U12" si="7">0.08*P11+P11</f>
        <v>5072.76</v>
      </c>
      <c r="R11" s="12">
        <f t="shared" si="7"/>
        <v>5478.5808000000006</v>
      </c>
      <c r="S11" s="12">
        <f t="shared" si="7"/>
        <v>5916.8672640000004</v>
      </c>
      <c r="T11" s="12">
        <f t="shared" si="7"/>
        <v>6390.2166451200001</v>
      </c>
      <c r="U11" s="12">
        <f t="shared" si="7"/>
        <v>6901.4339767296005</v>
      </c>
      <c r="V11" s="12"/>
      <c r="W11" s="12"/>
      <c r="X11" s="12"/>
      <c r="Y11" s="12"/>
      <c r="Z11" s="12"/>
      <c r="AA11" s="11"/>
      <c r="AD11" s="12">
        <v>5343</v>
      </c>
      <c r="AE11" s="12">
        <v>9366</v>
      </c>
      <c r="AF11" s="12">
        <f>SUM(N11:Q11)</f>
        <v>15951.76</v>
      </c>
      <c r="AG11" s="12">
        <f>0.1*AF11+AF11</f>
        <v>17546.936000000002</v>
      </c>
      <c r="AH11" s="12">
        <f>0.1*AG11+AG11</f>
        <v>19301.6296</v>
      </c>
      <c r="AI11" s="12">
        <f t="shared" ref="AI11:AN11" si="8">0.1*AH11+AH11</f>
        <v>21231.792560000002</v>
      </c>
      <c r="AJ11" s="12">
        <f t="shared" si="8"/>
        <v>23354.971816000001</v>
      </c>
      <c r="AK11" s="12">
        <f t="shared" si="8"/>
        <v>25690.468997600001</v>
      </c>
      <c r="AL11" s="12">
        <f t="shared" si="8"/>
        <v>28259.515897360001</v>
      </c>
      <c r="AM11" s="12">
        <f t="shared" si="8"/>
        <v>31085.467487096001</v>
      </c>
      <c r="AN11" s="12">
        <f t="shared" si="8"/>
        <v>34194.014235805604</v>
      </c>
    </row>
    <row r="12" spans="1:45" s="8" customFormat="1" x14ac:dyDescent="0.35">
      <c r="A12" s="13" t="s">
        <v>17</v>
      </c>
      <c r="B12" s="13"/>
      <c r="C12" s="13"/>
      <c r="D12" s="13"/>
      <c r="E12" s="14">
        <f t="shared" ref="E12" si="9">E10+E11</f>
        <v>315375</v>
      </c>
      <c r="F12" s="14">
        <f t="shared" ref="F12:U12" si="10">F10+F11</f>
        <v>329968</v>
      </c>
      <c r="G12" s="14">
        <f t="shared" si="10"/>
        <v>349306</v>
      </c>
      <c r="H12" s="14">
        <f t="shared" si="10"/>
        <v>360620</v>
      </c>
      <c r="I12" s="14">
        <f t="shared" si="10"/>
        <v>362939</v>
      </c>
      <c r="J12" s="14">
        <f t="shared" si="10"/>
        <v>378243</v>
      </c>
      <c r="K12" s="14">
        <f t="shared" si="10"/>
        <v>373742</v>
      </c>
      <c r="L12" s="14">
        <f t="shared" si="10"/>
        <v>383393</v>
      </c>
      <c r="M12" s="14">
        <f t="shared" si="10"/>
        <v>379160</v>
      </c>
      <c r="N12" s="14">
        <f t="shared" si="10"/>
        <v>388699</v>
      </c>
      <c r="O12" s="14">
        <f t="shared" si="10"/>
        <v>417280</v>
      </c>
      <c r="P12" s="14">
        <f t="shared" si="10"/>
        <v>455990</v>
      </c>
      <c r="Q12" s="14">
        <f t="shared" si="10"/>
        <v>492469.2</v>
      </c>
      <c r="R12" s="14">
        <f t="shared" si="10"/>
        <v>531866.73600000003</v>
      </c>
      <c r="S12" s="14">
        <f t="shared" si="10"/>
        <v>574416.07488000009</v>
      </c>
      <c r="T12" s="14">
        <f t="shared" si="10"/>
        <v>620369.36087039998</v>
      </c>
      <c r="U12" s="14">
        <f t="shared" si="10"/>
        <v>669998.90974003205</v>
      </c>
      <c r="V12" s="14"/>
      <c r="W12" s="14"/>
      <c r="X12" s="14"/>
      <c r="Y12" s="14"/>
      <c r="Z12" s="14"/>
      <c r="AA12" s="13"/>
      <c r="AD12" s="14">
        <f>AD10+AD11</f>
        <v>1170812</v>
      </c>
      <c r="AE12" s="14">
        <f>AE10+AE11</f>
        <v>1400814</v>
      </c>
      <c r="AF12" s="14">
        <f>AF10-AF11</f>
        <v>1722534.68</v>
      </c>
      <c r="AG12" s="14">
        <f>AG10+AG11</f>
        <v>1929882.02</v>
      </c>
      <c r="AH12" s="14">
        <f>AH10+AH11</f>
        <v>2122870.2220000001</v>
      </c>
      <c r="AI12" s="14">
        <f t="shared" ref="AI12:AN12" si="11">AI10+AI11</f>
        <v>2335157.2442000001</v>
      </c>
      <c r="AJ12" s="14">
        <f t="shared" si="11"/>
        <v>2568672.9686199999</v>
      </c>
      <c r="AK12" s="14">
        <f t="shared" si="11"/>
        <v>2825540.2654820001</v>
      </c>
      <c r="AL12" s="14">
        <f t="shared" si="11"/>
        <v>3108094.2920302004</v>
      </c>
      <c r="AM12" s="14">
        <f t="shared" si="11"/>
        <v>3418903.7212332198</v>
      </c>
      <c r="AN12" s="14">
        <f t="shared" si="11"/>
        <v>3760794.0933565423</v>
      </c>
    </row>
    <row r="13" spans="1:45" x14ac:dyDescent="0.35">
      <c r="A13" s="11" t="s">
        <v>18</v>
      </c>
      <c r="B13" s="11"/>
      <c r="C13" s="11"/>
      <c r="D13" s="11"/>
      <c r="E13" s="11">
        <f>65458+17505+30089</f>
        <v>113052</v>
      </c>
      <c r="F13" s="11">
        <f>66828+18698+31306</f>
        <v>116832</v>
      </c>
      <c r="G13" s="11">
        <f>71037+19310+29511</f>
        <v>119858</v>
      </c>
      <c r="H13" s="11">
        <f>73284+19352+28421</f>
        <v>121057</v>
      </c>
      <c r="I13" s="11">
        <f>74018+18847+28279</f>
        <v>121144</v>
      </c>
      <c r="J13" s="11">
        <f>74036+19972+29403</f>
        <v>123411</v>
      </c>
      <c r="K13" s="12">
        <f>74240+18144+29643</f>
        <v>122027</v>
      </c>
      <c r="L13" s="12">
        <f>75926+18568+30325</f>
        <v>124819</v>
      </c>
      <c r="M13" s="12">
        <f>75986+18501+31107</f>
        <v>125594</v>
      </c>
      <c r="N13" s="12">
        <f>77605+19804+31564</f>
        <v>128973</v>
      </c>
      <c r="O13" s="12">
        <f>0.33*O12</f>
        <v>137702.39999999999</v>
      </c>
      <c r="P13" s="12">
        <f>86267+19636+35698</f>
        <v>141601</v>
      </c>
      <c r="Q13" s="12">
        <f t="shared" ref="P13:U13" si="12">0.33*Q12</f>
        <v>162514.83600000001</v>
      </c>
      <c r="R13" s="12">
        <f t="shared" si="12"/>
        <v>175516.02288000003</v>
      </c>
      <c r="S13" s="12">
        <f t="shared" si="12"/>
        <v>189557.30471040003</v>
      </c>
      <c r="T13" s="12">
        <f t="shared" si="12"/>
        <v>204721.889087232</v>
      </c>
      <c r="U13" s="12">
        <f t="shared" si="12"/>
        <v>221099.64021421058</v>
      </c>
      <c r="V13" s="12"/>
      <c r="W13" s="12"/>
      <c r="X13" s="12"/>
      <c r="Y13" s="12"/>
      <c r="Z13" s="12"/>
      <c r="AA13" s="11"/>
      <c r="AD13" s="12">
        <f>250205+67611+110636</f>
        <v>428452</v>
      </c>
      <c r="AE13" s="12">
        <f>285433+76207+117517</f>
        <v>479157</v>
      </c>
      <c r="AF13" s="12">
        <f>SUM(N13:Q13)</f>
        <v>570791.23600000003</v>
      </c>
      <c r="AG13" s="12">
        <f>0.08*AF13+AF13</f>
        <v>616454.53488000005</v>
      </c>
      <c r="AH13" s="12">
        <f t="shared" ref="AH13:AN13" si="13">0.08*AG13+AG13</f>
        <v>665770.8976704001</v>
      </c>
      <c r="AI13" s="12">
        <f t="shared" si="13"/>
        <v>719032.56948403211</v>
      </c>
      <c r="AJ13" s="12">
        <f t="shared" si="13"/>
        <v>776555.17504275474</v>
      </c>
      <c r="AK13" s="12">
        <f t="shared" si="13"/>
        <v>838679.58904617513</v>
      </c>
      <c r="AL13" s="12">
        <f t="shared" si="13"/>
        <v>905773.95616986917</v>
      </c>
      <c r="AM13" s="12">
        <f t="shared" si="13"/>
        <v>978235.87266345869</v>
      </c>
      <c r="AN13" s="12">
        <f t="shared" si="13"/>
        <v>1056494.7424765355</v>
      </c>
    </row>
    <row r="14" spans="1:45" x14ac:dyDescent="0.35">
      <c r="A14" s="11" t="s">
        <v>19</v>
      </c>
      <c r="B14" s="11"/>
      <c r="C14" s="11"/>
      <c r="D14" s="11"/>
      <c r="E14" s="11">
        <f>15327</f>
        <v>15327</v>
      </c>
      <c r="F14" s="11">
        <v>15669</v>
      </c>
      <c r="G14" s="11">
        <f>17283</f>
        <v>17283</v>
      </c>
      <c r="H14" s="11">
        <v>19118</v>
      </c>
      <c r="I14" s="11">
        <f>19844</f>
        <v>19844</v>
      </c>
      <c r="J14" s="11">
        <v>26992</v>
      </c>
      <c r="K14" s="12">
        <v>26568</v>
      </c>
      <c r="L14" s="12">
        <v>27253</v>
      </c>
      <c r="M14" s="12">
        <v>27070</v>
      </c>
      <c r="N14" s="12">
        <v>27157</v>
      </c>
      <c r="O14" s="12">
        <f>28824</f>
        <v>28824</v>
      </c>
      <c r="P14" s="59">
        <v>29621</v>
      </c>
      <c r="Q14" s="59">
        <f t="shared" ref="Q14:U14" si="14">0.1*P14+P14</f>
        <v>32583.1</v>
      </c>
      <c r="R14" s="59">
        <f t="shared" si="14"/>
        <v>35841.409999999996</v>
      </c>
      <c r="S14" s="59">
        <f t="shared" si="14"/>
        <v>39425.550999999992</v>
      </c>
      <c r="T14" s="59">
        <f t="shared" si="14"/>
        <v>43368.10609999999</v>
      </c>
      <c r="U14" s="59">
        <f t="shared" si="14"/>
        <v>47704.91670999999</v>
      </c>
      <c r="V14" s="59"/>
      <c r="W14" s="59"/>
      <c r="X14" s="59"/>
      <c r="Y14" s="59"/>
      <c r="Z14" s="59"/>
      <c r="AA14" s="11"/>
      <c r="AD14" s="12">
        <v>53035</v>
      </c>
      <c r="AE14" s="12">
        <f>72454</f>
        <v>72454</v>
      </c>
      <c r="AF14" s="12">
        <f>SUM(N14:Q14)</f>
        <v>118185.1</v>
      </c>
      <c r="AG14" s="12">
        <f t="shared" ref="AG14:AG16" si="15">0.08*AF14+AF14</f>
        <v>127639.90800000001</v>
      </c>
      <c r="AH14" s="12">
        <f t="shared" ref="AH14:AN14" si="16">0.08*AG14+AG14</f>
        <v>137851.10064000002</v>
      </c>
      <c r="AI14" s="12">
        <f t="shared" si="16"/>
        <v>148879.18869120002</v>
      </c>
      <c r="AJ14" s="12">
        <f t="shared" si="16"/>
        <v>160789.52378649602</v>
      </c>
      <c r="AK14" s="12">
        <f t="shared" si="16"/>
        <v>173652.6856894157</v>
      </c>
      <c r="AL14" s="12">
        <f t="shared" si="16"/>
        <v>187544.90054456895</v>
      </c>
      <c r="AM14" s="12">
        <f t="shared" si="16"/>
        <v>202548.49258813448</v>
      </c>
      <c r="AN14" s="12">
        <f t="shared" si="16"/>
        <v>218752.37199518524</v>
      </c>
    </row>
    <row r="15" spans="1:45" x14ac:dyDescent="0.35">
      <c r="A15" s="11" t="s">
        <v>20</v>
      </c>
      <c r="B15" s="11"/>
      <c r="C15" s="11"/>
      <c r="D15" s="11"/>
      <c r="E15" s="11">
        <v>11642</v>
      </c>
      <c r="F15" s="11">
        <v>11235</v>
      </c>
      <c r="G15" s="11">
        <v>12086</v>
      </c>
      <c r="H15" s="11">
        <v>12353</v>
      </c>
      <c r="I15" s="11">
        <f>12634</f>
        <v>12634</v>
      </c>
      <c r="J15" s="11">
        <v>12572</v>
      </c>
      <c r="K15" s="12">
        <v>13230</v>
      </c>
      <c r="L15" s="12">
        <v>13320</v>
      </c>
      <c r="M15" s="12">
        <v>13639</v>
      </c>
      <c r="N15" s="12">
        <v>13728</v>
      </c>
      <c r="O15" s="12">
        <v>14966</v>
      </c>
      <c r="P15" s="59">
        <v>16082</v>
      </c>
      <c r="Q15" s="59">
        <f t="shared" ref="Q15:U15" si="17">0.02*P15+P15</f>
        <v>16403.64</v>
      </c>
      <c r="R15" s="59">
        <f t="shared" si="17"/>
        <v>16731.712800000001</v>
      </c>
      <c r="S15" s="59">
        <f t="shared" si="17"/>
        <v>17066.347056000002</v>
      </c>
      <c r="T15" s="59">
        <f t="shared" si="17"/>
        <v>17407.673997120004</v>
      </c>
      <c r="U15" s="59">
        <f t="shared" si="17"/>
        <v>17755.827477062405</v>
      </c>
      <c r="V15" s="59"/>
      <c r="W15" s="59"/>
      <c r="X15" s="59"/>
      <c r="Y15" s="59"/>
      <c r="Z15" s="59"/>
      <c r="AA15" s="11"/>
      <c r="AD15" s="12">
        <v>44333</v>
      </c>
      <c r="AE15" s="12">
        <f>48308</f>
        <v>48308</v>
      </c>
      <c r="AF15" s="12">
        <f>SUM(N15:Q15)</f>
        <v>61179.64</v>
      </c>
      <c r="AG15" s="12">
        <f t="shared" si="15"/>
        <v>66074.011199999994</v>
      </c>
      <c r="AH15" s="12">
        <f t="shared" ref="AH15:AN15" si="18">0.08*AG15+AG15</f>
        <v>71359.93209599999</v>
      </c>
      <c r="AI15" s="12">
        <f t="shared" si="18"/>
        <v>77068.72666367999</v>
      </c>
      <c r="AJ15" s="12">
        <f t="shared" si="18"/>
        <v>83234.22479677439</v>
      </c>
      <c r="AK15" s="12">
        <f t="shared" si="18"/>
        <v>89892.962780516347</v>
      </c>
      <c r="AL15" s="12">
        <f t="shared" si="18"/>
        <v>97084.399802957661</v>
      </c>
      <c r="AM15" s="12">
        <f t="shared" si="18"/>
        <v>104851.15178719428</v>
      </c>
      <c r="AN15" s="12">
        <f t="shared" si="18"/>
        <v>113239.24393016982</v>
      </c>
    </row>
    <row r="16" spans="1:45" x14ac:dyDescent="0.35">
      <c r="A16" s="11" t="s">
        <v>21</v>
      </c>
      <c r="B16" s="11"/>
      <c r="C16" s="11"/>
      <c r="D16" s="11"/>
      <c r="E16" s="11">
        <v>14579</v>
      </c>
      <c r="F16" s="11">
        <v>19016</v>
      </c>
      <c r="G16" s="11">
        <v>19297</v>
      </c>
      <c r="H16" s="11">
        <v>20984</v>
      </c>
      <c r="I16" s="11">
        <f>19497</f>
        <v>19497</v>
      </c>
      <c r="J16" s="11">
        <v>15440</v>
      </c>
      <c r="K16" s="12">
        <v>12916</v>
      </c>
      <c r="L16" s="12">
        <v>15665</v>
      </c>
      <c r="M16" s="12">
        <v>16040</v>
      </c>
      <c r="N16" s="12">
        <v>18489</v>
      </c>
      <c r="O16" s="12">
        <f>19497</f>
        <v>19497</v>
      </c>
      <c r="P16" s="59">
        <v>18383</v>
      </c>
      <c r="Q16" s="59">
        <f t="shared" ref="Q16:U16" si="19">0.07*P16+P16</f>
        <v>19669.810000000001</v>
      </c>
      <c r="R16" s="59">
        <f t="shared" si="19"/>
        <v>21046.6967</v>
      </c>
      <c r="S16" s="59">
        <f t="shared" si="19"/>
        <v>22519.965469000002</v>
      </c>
      <c r="T16" s="59">
        <f t="shared" si="19"/>
        <v>24096.363051830001</v>
      </c>
      <c r="U16" s="59">
        <f t="shared" si="19"/>
        <v>25783.108465458103</v>
      </c>
      <c r="V16" s="59"/>
      <c r="W16" s="59"/>
      <c r="X16" s="59"/>
      <c r="Y16" s="59"/>
      <c r="Z16" s="59"/>
      <c r="AA16" s="11"/>
      <c r="AD16" s="12">
        <v>64310</v>
      </c>
      <c r="AE16" s="12">
        <f>78794</f>
        <v>78794</v>
      </c>
      <c r="AF16" s="12">
        <f>SUM(N16:Q16)</f>
        <v>76038.81</v>
      </c>
      <c r="AG16" s="12">
        <f t="shared" si="15"/>
        <v>82121.914799999999</v>
      </c>
      <c r="AH16" s="12">
        <f t="shared" ref="AH16:AN16" si="20">0.08*AG16+AG16</f>
        <v>88691.667984</v>
      </c>
      <c r="AI16" s="12">
        <f t="shared" si="20"/>
        <v>95787.001422720001</v>
      </c>
      <c r="AJ16" s="12">
        <f t="shared" si="20"/>
        <v>103449.96153653759</v>
      </c>
      <c r="AK16" s="12">
        <f t="shared" si="20"/>
        <v>111725.9584594606</v>
      </c>
      <c r="AL16" s="12">
        <f t="shared" si="20"/>
        <v>120664.03513621744</v>
      </c>
      <c r="AM16" s="12">
        <f t="shared" si="20"/>
        <v>130317.15794711484</v>
      </c>
      <c r="AN16" s="12">
        <f t="shared" si="20"/>
        <v>140742.53058288404</v>
      </c>
    </row>
    <row r="17" spans="1:119" x14ac:dyDescent="0.35">
      <c r="A17" s="11" t="s">
        <v>22</v>
      </c>
      <c r="B17" s="11"/>
      <c r="C17" s="11"/>
      <c r="D17" s="11"/>
      <c r="E17" s="12">
        <f t="shared" ref="E17" si="21">E16+E15+E14</f>
        <v>41548</v>
      </c>
      <c r="F17" s="12">
        <f t="shared" ref="F17:K17" si="22">F16+F15+F14</f>
        <v>45920</v>
      </c>
      <c r="G17" s="12">
        <f t="shared" si="22"/>
        <v>48666</v>
      </c>
      <c r="H17" s="12">
        <f t="shared" si="22"/>
        <v>52455</v>
      </c>
      <c r="I17" s="12">
        <f t="shared" si="22"/>
        <v>51975</v>
      </c>
      <c r="J17" s="12">
        <f t="shared" si="22"/>
        <v>55004</v>
      </c>
      <c r="K17" s="12">
        <f t="shared" si="22"/>
        <v>52714</v>
      </c>
      <c r="L17" s="12">
        <f>L16+L15+L14</f>
        <v>56238</v>
      </c>
      <c r="M17" s="12">
        <f>M16+M15+M14</f>
        <v>56749</v>
      </c>
      <c r="N17" s="12">
        <f>N16+N15+N14</f>
        <v>59374</v>
      </c>
      <c r="O17" s="12">
        <f>O16+O15+O14</f>
        <v>63287</v>
      </c>
      <c r="P17" s="12">
        <f>P16+P15+P14</f>
        <v>64086</v>
      </c>
      <c r="Q17" s="12">
        <f t="shared" ref="Q17:U17" si="23">Q16+Q15+Q14</f>
        <v>68656.549999999988</v>
      </c>
      <c r="R17" s="12">
        <f t="shared" si="23"/>
        <v>73619.819499999998</v>
      </c>
      <c r="S17" s="12">
        <f t="shared" si="23"/>
        <v>79011.863524999993</v>
      </c>
      <c r="T17" s="12">
        <f t="shared" si="23"/>
        <v>84872.143148949996</v>
      </c>
      <c r="U17" s="12">
        <f t="shared" si="23"/>
        <v>91243.852652520494</v>
      </c>
      <c r="V17" s="12"/>
      <c r="W17" s="12"/>
      <c r="X17" s="12"/>
      <c r="Y17" s="12"/>
      <c r="Z17" s="12"/>
      <c r="AA17" s="11"/>
      <c r="AD17" s="12">
        <f t="shared" ref="AD17:AG17" si="24">AD16+AD15+AD14</f>
        <v>161678</v>
      </c>
      <c r="AE17" s="12">
        <f t="shared" si="24"/>
        <v>199556</v>
      </c>
      <c r="AF17" s="12">
        <f t="shared" si="24"/>
        <v>255403.55000000002</v>
      </c>
      <c r="AG17" s="12">
        <f t="shared" si="24"/>
        <v>275835.83399999997</v>
      </c>
      <c r="AH17" s="12">
        <f t="shared" ref="AH17:AN17" si="25">AH16+AH15+AH14</f>
        <v>297902.70072000002</v>
      </c>
      <c r="AI17" s="12">
        <f t="shared" si="25"/>
        <v>321734.91677760001</v>
      </c>
      <c r="AJ17" s="12">
        <f t="shared" si="25"/>
        <v>347473.71011980798</v>
      </c>
      <c r="AK17" s="12">
        <f t="shared" si="25"/>
        <v>375271.60692939267</v>
      </c>
      <c r="AL17" s="12">
        <f t="shared" si="25"/>
        <v>405293.33548374404</v>
      </c>
      <c r="AM17" s="12">
        <f t="shared" si="25"/>
        <v>437716.80232244357</v>
      </c>
      <c r="AN17" s="12">
        <f t="shared" si="25"/>
        <v>472734.14650823909</v>
      </c>
    </row>
    <row r="18" spans="1:119" s="8" customFormat="1" x14ac:dyDescent="0.35">
      <c r="A18" s="13" t="s">
        <v>23</v>
      </c>
      <c r="B18" s="13"/>
      <c r="C18" s="13"/>
      <c r="D18" s="13"/>
      <c r="E18" s="14">
        <f t="shared" ref="E18" si="26">E12-E17-E13</f>
        <v>160775</v>
      </c>
      <c r="F18" s="14">
        <f t="shared" ref="F18:U18" si="27">F12-F17-F13</f>
        <v>167216</v>
      </c>
      <c r="G18" s="14">
        <f t="shared" si="27"/>
        <v>180782</v>
      </c>
      <c r="H18" s="14">
        <f t="shared" si="27"/>
        <v>187108</v>
      </c>
      <c r="I18" s="14">
        <f t="shared" si="27"/>
        <v>189820</v>
      </c>
      <c r="J18" s="14">
        <f t="shared" si="27"/>
        <v>199828</v>
      </c>
      <c r="K18" s="14">
        <f t="shared" si="27"/>
        <v>199001</v>
      </c>
      <c r="L18" s="14">
        <f t="shared" si="27"/>
        <v>202336</v>
      </c>
      <c r="M18" s="14">
        <f t="shared" si="27"/>
        <v>196817</v>
      </c>
      <c r="N18" s="14">
        <f t="shared" si="27"/>
        <v>200352</v>
      </c>
      <c r="O18" s="14">
        <f t="shared" si="27"/>
        <v>216290.6</v>
      </c>
      <c r="P18" s="14">
        <f t="shared" si="27"/>
        <v>250303</v>
      </c>
      <c r="Q18" s="14">
        <f t="shared" si="27"/>
        <v>261297.81400000001</v>
      </c>
      <c r="R18" s="14">
        <f t="shared" si="27"/>
        <v>282730.89361999999</v>
      </c>
      <c r="S18" s="14">
        <f t="shared" si="27"/>
        <v>305846.90664460009</v>
      </c>
      <c r="T18" s="14">
        <f t="shared" si="27"/>
        <v>330775.32863421802</v>
      </c>
      <c r="U18" s="14">
        <f t="shared" si="27"/>
        <v>357655.41687330091</v>
      </c>
      <c r="V18" s="14"/>
      <c r="W18" s="14"/>
      <c r="X18" s="14"/>
      <c r="Y18" s="14"/>
      <c r="Z18" s="14"/>
      <c r="AA18" s="13"/>
      <c r="AD18" s="14">
        <f t="shared" ref="AD18:AG18" si="28">AD12-AD17-AD13</f>
        <v>580682</v>
      </c>
      <c r="AE18" s="14">
        <f t="shared" si="28"/>
        <v>722101</v>
      </c>
      <c r="AF18" s="14">
        <f t="shared" si="28"/>
        <v>896339.89399999985</v>
      </c>
      <c r="AG18" s="14">
        <f t="shared" si="28"/>
        <v>1037591.6511199999</v>
      </c>
      <c r="AH18" s="14">
        <f t="shared" ref="AH18:AN18" si="29">AH12-AH17-AH13</f>
        <v>1159196.6236095999</v>
      </c>
      <c r="AI18" s="14">
        <f t="shared" si="29"/>
        <v>1294389.7579383678</v>
      </c>
      <c r="AJ18" s="14">
        <f t="shared" si="29"/>
        <v>1444644.0834574371</v>
      </c>
      <c r="AK18" s="14">
        <f t="shared" si="29"/>
        <v>1611589.0695064324</v>
      </c>
      <c r="AL18" s="14">
        <f t="shared" si="29"/>
        <v>1797027.0003765873</v>
      </c>
      <c r="AM18" s="14">
        <f t="shared" si="29"/>
        <v>2002951.0462473175</v>
      </c>
      <c r="AN18" s="14">
        <f t="shared" si="29"/>
        <v>2231565.2043717676</v>
      </c>
    </row>
    <row r="19" spans="1:119" x14ac:dyDescent="0.35">
      <c r="A19" s="11" t="s">
        <v>24</v>
      </c>
      <c r="B19" s="11"/>
      <c r="C19" s="11"/>
      <c r="D19" s="11"/>
      <c r="E19" s="11">
        <v>85826</v>
      </c>
      <c r="F19" s="11">
        <v>87814</v>
      </c>
      <c r="G19" s="11">
        <v>89468</v>
      </c>
      <c r="H19" s="11">
        <v>92977</v>
      </c>
      <c r="I19" s="11">
        <v>94059</v>
      </c>
      <c r="J19" s="11">
        <v>96538</v>
      </c>
      <c r="K19" s="12">
        <v>97343</v>
      </c>
      <c r="L19" s="12">
        <v>100743</v>
      </c>
      <c r="M19" s="12">
        <v>100752</v>
      </c>
      <c r="N19" s="12">
        <f>105401</f>
        <v>105401</v>
      </c>
      <c r="O19" s="12">
        <v>110000</v>
      </c>
      <c r="P19" s="12">
        <v>117042</v>
      </c>
      <c r="Q19" s="12">
        <f t="shared" ref="Q19:U19" si="30">0.26*Q12</f>
        <v>128041.99200000001</v>
      </c>
      <c r="R19" s="12">
        <f t="shared" si="30"/>
        <v>138285.35136</v>
      </c>
      <c r="S19" s="12">
        <f t="shared" si="30"/>
        <v>149348.17946880002</v>
      </c>
      <c r="T19" s="12">
        <f t="shared" si="30"/>
        <v>161296.03382630399</v>
      </c>
      <c r="U19" s="12">
        <f t="shared" si="30"/>
        <v>174199.71653240835</v>
      </c>
      <c r="V19" s="12"/>
      <c r="W19" s="12"/>
      <c r="X19" s="12"/>
      <c r="Y19" s="12"/>
      <c r="Z19" s="23">
        <f>AE19/AD19-1</f>
        <v>0.10096794567657974</v>
      </c>
      <c r="AA19" s="23">
        <f>AF19/AE19-1</f>
        <v>0.26396442668218434</v>
      </c>
      <c r="AB19" s="23"/>
      <c r="AD19" s="12">
        <f>330907</f>
        <v>330907</v>
      </c>
      <c r="AE19" s="12">
        <f>364318</f>
        <v>364318</v>
      </c>
      <c r="AF19" s="12">
        <f>SUM(N19:Q19)</f>
        <v>460484.99200000003</v>
      </c>
      <c r="AG19" s="12">
        <f>0.1*AF19+AF19</f>
        <v>506533.49120000005</v>
      </c>
      <c r="AH19" s="12">
        <f t="shared" ref="AH19:AN19" si="31">0.1*AG19+AG19</f>
        <v>557186.84032000008</v>
      </c>
      <c r="AI19" s="12">
        <f t="shared" si="31"/>
        <v>612905.52435200009</v>
      </c>
      <c r="AJ19" s="12">
        <f t="shared" si="31"/>
        <v>674196.07678720006</v>
      </c>
      <c r="AK19" s="12">
        <f t="shared" si="31"/>
        <v>741615.68446592009</v>
      </c>
      <c r="AL19" s="12">
        <f t="shared" si="31"/>
        <v>815777.25291251205</v>
      </c>
      <c r="AM19" s="12">
        <f t="shared" si="31"/>
        <v>897354.97820376325</v>
      </c>
      <c r="AN19" s="12">
        <f t="shared" si="31"/>
        <v>987090.47602413956</v>
      </c>
    </row>
    <row r="20" spans="1:119" x14ac:dyDescent="0.35">
      <c r="A20" s="11" t="s">
        <v>25</v>
      </c>
      <c r="B20" s="11"/>
      <c r="C20" s="11"/>
      <c r="D20" s="11"/>
      <c r="E20" s="11">
        <v>40593</v>
      </c>
      <c r="F20" s="11">
        <v>45109</v>
      </c>
      <c r="G20" s="11">
        <v>49403</v>
      </c>
      <c r="H20" s="11">
        <v>46856</v>
      </c>
      <c r="I20" s="11">
        <v>51631</v>
      </c>
      <c r="J20" s="11">
        <v>56137</v>
      </c>
      <c r="K20" s="12">
        <v>51858</v>
      </c>
      <c r="L20" s="12">
        <v>66449</v>
      </c>
      <c r="M20" s="12">
        <v>52033</v>
      </c>
      <c r="N20" s="12">
        <f>51254</f>
        <v>51254</v>
      </c>
      <c r="O20" s="12">
        <v>54237</v>
      </c>
      <c r="P20" s="59">
        <v>56755</v>
      </c>
      <c r="Q20" s="59">
        <f t="shared" ref="Q20:U20" si="32">0.1*P20+P20</f>
        <v>62430.5</v>
      </c>
      <c r="R20" s="59">
        <f t="shared" si="32"/>
        <v>68673.55</v>
      </c>
      <c r="S20" s="59">
        <f t="shared" si="32"/>
        <v>75540.904999999999</v>
      </c>
      <c r="T20" s="59">
        <f t="shared" si="32"/>
        <v>83094.995500000005</v>
      </c>
      <c r="U20" s="59">
        <f t="shared" si="32"/>
        <v>91404.495049999998</v>
      </c>
      <c r="V20" s="59"/>
      <c r="W20" s="59"/>
      <c r="X20" s="59"/>
      <c r="Y20" s="59"/>
      <c r="Z20" s="59"/>
      <c r="AA20" s="11"/>
      <c r="AD20" s="12">
        <v>166162</v>
      </c>
      <c r="AE20" s="12">
        <v>192999</v>
      </c>
      <c r="AF20" s="12">
        <f>SUM(N20:Q20)</f>
        <v>224676.5</v>
      </c>
      <c r="AG20" s="12">
        <f>0.1*AF20+AF20</f>
        <v>247144.15</v>
      </c>
      <c r="AH20" s="12">
        <f t="shared" ref="AH20:AN20" si="33">0.1*AG20+AG20</f>
        <v>271858.565</v>
      </c>
      <c r="AI20" s="12">
        <f t="shared" si="33"/>
        <v>299044.4215</v>
      </c>
      <c r="AJ20" s="12">
        <f t="shared" si="33"/>
        <v>328948.86365000001</v>
      </c>
      <c r="AK20" s="12">
        <f t="shared" si="33"/>
        <v>361843.750015</v>
      </c>
      <c r="AL20" s="12">
        <f t="shared" si="33"/>
        <v>398028.12501650001</v>
      </c>
      <c r="AM20" s="12">
        <f t="shared" si="33"/>
        <v>437830.93751815002</v>
      </c>
      <c r="AN20" s="12">
        <f t="shared" si="33"/>
        <v>481614.03126996499</v>
      </c>
    </row>
    <row r="21" spans="1:119" x14ac:dyDescent="0.35">
      <c r="A21" s="11" t="s">
        <v>70</v>
      </c>
      <c r="B21" s="11"/>
      <c r="C21" s="11"/>
      <c r="D21" s="11"/>
      <c r="E21" s="11"/>
      <c r="F21" s="11"/>
      <c r="G21" s="11"/>
      <c r="H21" s="11"/>
      <c r="I21" s="11"/>
      <c r="J21" s="11"/>
      <c r="K21" s="12"/>
      <c r="L21" s="12"/>
      <c r="M21" s="12"/>
      <c r="N21" s="12"/>
      <c r="O21" s="12"/>
      <c r="P21" s="12"/>
      <c r="Q21" s="12"/>
      <c r="S21" s="12"/>
      <c r="T21" s="12"/>
      <c r="U21" s="12"/>
      <c r="V21" s="12"/>
      <c r="W21" s="12"/>
      <c r="X21" s="12"/>
      <c r="Y21" s="12"/>
      <c r="Z21" s="12"/>
      <c r="AA21" s="11"/>
      <c r="AD21" s="11"/>
      <c r="AE21" s="11"/>
      <c r="AF21" s="12"/>
      <c r="AG21" s="12"/>
      <c r="AH21" s="12"/>
      <c r="AI21" s="12"/>
      <c r="AJ21" s="12"/>
      <c r="AK21" s="12"/>
      <c r="AL21" s="12"/>
      <c r="AM21" s="12"/>
      <c r="AN21" s="12"/>
    </row>
    <row r="22" spans="1:119" x14ac:dyDescent="0.35">
      <c r="A22" s="11" t="s">
        <v>26</v>
      </c>
      <c r="B22" s="11"/>
      <c r="C22" s="11"/>
      <c r="D22" s="11"/>
      <c r="E22" s="12">
        <f t="shared" ref="E22" si="34">E18-E19-E20</f>
        <v>34356</v>
      </c>
      <c r="F22" s="12">
        <f t="shared" ref="F22:U22" si="35">F18-F19-F20</f>
        <v>34293</v>
      </c>
      <c r="G22" s="12">
        <f t="shared" si="35"/>
        <v>41911</v>
      </c>
      <c r="H22" s="12">
        <f t="shared" si="35"/>
        <v>47275</v>
      </c>
      <c r="I22" s="12">
        <f t="shared" si="35"/>
        <v>44130</v>
      </c>
      <c r="J22" s="12">
        <f t="shared" si="35"/>
        <v>47153</v>
      </c>
      <c r="K22" s="12">
        <f t="shared" si="35"/>
        <v>49800</v>
      </c>
      <c r="L22" s="12">
        <f t="shared" si="35"/>
        <v>35144</v>
      </c>
      <c r="M22" s="12">
        <f t="shared" si="35"/>
        <v>44032</v>
      </c>
      <c r="N22" s="12">
        <f t="shared" si="35"/>
        <v>43697</v>
      </c>
      <c r="O22" s="12">
        <f t="shared" si="35"/>
        <v>52053.600000000006</v>
      </c>
      <c r="P22" s="12">
        <f>P18-P19-P20+P25</f>
        <v>151962</v>
      </c>
      <c r="Q22" s="12">
        <f t="shared" si="35"/>
        <v>70825.321999999986</v>
      </c>
      <c r="R22" s="12">
        <f t="shared" si="35"/>
        <v>75771.992259999985</v>
      </c>
      <c r="S22" s="12">
        <f t="shared" si="35"/>
        <v>80957.822175800073</v>
      </c>
      <c r="T22" s="12">
        <f t="shared" si="35"/>
        <v>86384.299307914029</v>
      </c>
      <c r="U22" s="12">
        <f t="shared" si="35"/>
        <v>92051.205290892569</v>
      </c>
      <c r="V22" s="12"/>
      <c r="W22" s="12"/>
      <c r="X22" s="12"/>
      <c r="Y22" s="12"/>
      <c r="Z22" s="12"/>
      <c r="AA22" s="11"/>
      <c r="AD22" s="12">
        <f t="shared" ref="AD22:AG22" si="36">AD18-AD19-AD20</f>
        <v>83613</v>
      </c>
      <c r="AE22" s="12">
        <f t="shared" si="36"/>
        <v>164784</v>
      </c>
      <c r="AF22" s="12">
        <f t="shared" si="36"/>
        <v>211178.40199999983</v>
      </c>
      <c r="AG22" s="12">
        <f t="shared" si="36"/>
        <v>283914.00991999987</v>
      </c>
      <c r="AH22" s="12">
        <f t="shared" ref="AH22:AN22" si="37">AH18-AH19-AH20</f>
        <v>330151.21828959981</v>
      </c>
      <c r="AI22" s="12">
        <f t="shared" si="37"/>
        <v>382439.81208636769</v>
      </c>
      <c r="AJ22" s="12">
        <f t="shared" si="37"/>
        <v>441499.14302023704</v>
      </c>
      <c r="AK22" s="12">
        <f t="shared" si="37"/>
        <v>508129.63502551231</v>
      </c>
      <c r="AL22" s="12">
        <f t="shared" si="37"/>
        <v>583221.62244757521</v>
      </c>
      <c r="AM22" s="12">
        <f t="shared" si="37"/>
        <v>667765.13052540412</v>
      </c>
      <c r="AN22" s="12">
        <f t="shared" si="37"/>
        <v>762860.69707766292</v>
      </c>
    </row>
    <row r="23" spans="1:119" x14ac:dyDescent="0.35">
      <c r="A23" s="11" t="s">
        <v>27</v>
      </c>
      <c r="B23" s="11"/>
      <c r="C23" s="11"/>
      <c r="D23" s="11"/>
      <c r="E23" s="11">
        <f>7765+5453</f>
        <v>13218</v>
      </c>
      <c r="F23" s="11">
        <f>12720-1487</f>
        <v>11233</v>
      </c>
      <c r="G23" s="11">
        <f>7953+4911</f>
        <v>12864</v>
      </c>
      <c r="H23" s="11">
        <f xml:space="preserve"> 6511+4245</f>
        <v>10756</v>
      </c>
      <c r="I23" s="11">
        <f>7647+233</f>
        <v>7880</v>
      </c>
      <c r="J23" s="12">
        <f>9324-5997</f>
        <v>3327</v>
      </c>
      <c r="K23" s="2">
        <f>17174+891</f>
        <v>18065</v>
      </c>
      <c r="L23" s="12">
        <f>7506+4814</f>
        <v>12320</v>
      </c>
      <c r="M23" s="12">
        <f>7094+4</f>
        <v>7098</v>
      </c>
      <c r="N23" s="12">
        <f>7883+5195</f>
        <v>13078</v>
      </c>
      <c r="O23" s="12">
        <f>8491+8949</f>
        <v>17440</v>
      </c>
      <c r="P23" s="12">
        <v>7573</v>
      </c>
      <c r="Q23" s="12">
        <f t="shared" ref="Q23:U23" si="38">0.3*Q22</f>
        <v>21247.596599999993</v>
      </c>
      <c r="R23" s="12">
        <f t="shared" si="38"/>
        <v>22731.597677999995</v>
      </c>
      <c r="S23" s="12">
        <f t="shared" si="38"/>
        <v>24287.34665274002</v>
      </c>
      <c r="T23" s="12">
        <f t="shared" si="38"/>
        <v>25915.289792374209</v>
      </c>
      <c r="U23" s="12">
        <f t="shared" si="38"/>
        <v>27615.361587267769</v>
      </c>
      <c r="V23" s="12"/>
      <c r="W23" s="12"/>
      <c r="X23" s="12"/>
      <c r="Y23" s="12"/>
      <c r="Z23" s="12"/>
      <c r="AA23" s="12"/>
      <c r="AD23" s="12">
        <f>30311+11448</f>
        <v>41759</v>
      </c>
      <c r="AE23" s="12">
        <f>34831+7902</f>
        <v>42733</v>
      </c>
      <c r="AF23" s="12">
        <f>SUM(N23:Q23)</f>
        <v>59338.59659999999</v>
      </c>
      <c r="AG23" s="12">
        <f>0.3*AG22</f>
        <v>85174.202975999957</v>
      </c>
      <c r="AH23" s="12">
        <f t="shared" ref="AH23:AN23" si="39">0.3*AH22</f>
        <v>99045.365486879935</v>
      </c>
      <c r="AI23" s="12">
        <f t="shared" si="39"/>
        <v>114731.94362591031</v>
      </c>
      <c r="AJ23" s="12">
        <f t="shared" si="39"/>
        <v>132449.7429060711</v>
      </c>
      <c r="AK23" s="12">
        <f t="shared" si="39"/>
        <v>152438.89050765368</v>
      </c>
      <c r="AL23" s="12">
        <f t="shared" si="39"/>
        <v>174966.48673427256</v>
      </c>
      <c r="AM23" s="12">
        <f t="shared" si="39"/>
        <v>200329.53915762124</v>
      </c>
      <c r="AN23" s="12">
        <f t="shared" si="39"/>
        <v>228858.20912329888</v>
      </c>
    </row>
    <row r="24" spans="1:119" x14ac:dyDescent="0.35">
      <c r="A24" s="13" t="s">
        <v>28</v>
      </c>
      <c r="B24" s="13"/>
      <c r="C24" s="13"/>
      <c r="D24" s="13"/>
      <c r="E24" s="14">
        <f t="shared" ref="E24" si="40">E22-E23</f>
        <v>21138</v>
      </c>
      <c r="F24" s="14">
        <f t="shared" ref="F24:U24" si="41">F22-F23</f>
        <v>23060</v>
      </c>
      <c r="G24" s="14">
        <f t="shared" si="41"/>
        <v>29047</v>
      </c>
      <c r="H24" s="14">
        <f t="shared" si="41"/>
        <v>36519</v>
      </c>
      <c r="I24" s="14">
        <f t="shared" si="41"/>
        <v>36250</v>
      </c>
      <c r="J24" s="14">
        <f t="shared" si="41"/>
        <v>43826</v>
      </c>
      <c r="K24" s="14">
        <f t="shared" si="41"/>
        <v>31735</v>
      </c>
      <c r="L24" s="14">
        <f t="shared" si="41"/>
        <v>22824</v>
      </c>
      <c r="M24" s="14">
        <f t="shared" si="41"/>
        <v>36934</v>
      </c>
      <c r="N24" s="14">
        <f t="shared" si="41"/>
        <v>30619</v>
      </c>
      <c r="O24" s="14">
        <f t="shared" si="41"/>
        <v>34613.600000000006</v>
      </c>
      <c r="P24" s="14">
        <f t="shared" si="41"/>
        <v>144389</v>
      </c>
      <c r="Q24" s="14">
        <f t="shared" si="41"/>
        <v>49577.725399999996</v>
      </c>
      <c r="R24" s="14">
        <f t="shared" si="41"/>
        <v>53040.394581999994</v>
      </c>
      <c r="S24" s="14">
        <f t="shared" si="41"/>
        <v>56670.475523060057</v>
      </c>
      <c r="T24" s="14">
        <f t="shared" si="41"/>
        <v>60469.009515539816</v>
      </c>
      <c r="U24" s="14">
        <f t="shared" si="41"/>
        <v>64435.8437036248</v>
      </c>
      <c r="V24" s="14"/>
      <c r="W24" s="14"/>
      <c r="X24" s="14"/>
      <c r="Y24" s="14"/>
      <c r="Z24" s="14"/>
      <c r="AA24" s="13">
        <v>16875</v>
      </c>
      <c r="AB24" s="61">
        <v>-306642</v>
      </c>
      <c r="AC24" s="61">
        <f>-123640</f>
        <v>-123640</v>
      </c>
      <c r="AD24" s="14">
        <f t="shared" ref="AD24:AG24" si="42">AD22-AD23</f>
        <v>41854</v>
      </c>
      <c r="AE24" s="14">
        <f t="shared" si="42"/>
        <v>122051</v>
      </c>
      <c r="AF24" s="14">
        <f t="shared" si="42"/>
        <v>151839.80539999984</v>
      </c>
      <c r="AG24" s="14">
        <f t="shared" si="42"/>
        <v>198739.80694399989</v>
      </c>
      <c r="AH24" s="14">
        <f t="shared" ref="AH24:AN24" si="43">AH22-AH23</f>
        <v>231105.85280271986</v>
      </c>
      <c r="AI24" s="14">
        <f t="shared" si="43"/>
        <v>267707.86846045736</v>
      </c>
      <c r="AJ24" s="14">
        <f t="shared" si="43"/>
        <v>309049.40011416597</v>
      </c>
      <c r="AK24" s="14">
        <f t="shared" si="43"/>
        <v>355690.74451785861</v>
      </c>
      <c r="AL24" s="14">
        <f t="shared" si="43"/>
        <v>408255.13571330265</v>
      </c>
      <c r="AM24" s="14">
        <f t="shared" si="43"/>
        <v>467435.59136778291</v>
      </c>
      <c r="AN24" s="14">
        <f t="shared" si="43"/>
        <v>534002.48795436404</v>
      </c>
      <c r="AO24" s="22">
        <f>AN24*(1+$AS$28)</f>
        <v>544682.53771345131</v>
      </c>
      <c r="AP24" s="22">
        <f t="shared" ref="AP24:DA24" si="44">AO24*(1+$AS$28)</f>
        <v>555576.18846772029</v>
      </c>
      <c r="AQ24" s="22">
        <f t="shared" si="44"/>
        <v>566687.71223707474</v>
      </c>
      <c r="AR24" s="22">
        <f t="shared" si="44"/>
        <v>578021.46648181626</v>
      </c>
      <c r="AS24" s="22">
        <f t="shared" si="44"/>
        <v>589581.89581145265</v>
      </c>
      <c r="AT24" s="22">
        <f t="shared" si="44"/>
        <v>601373.53372768173</v>
      </c>
      <c r="AU24" s="22">
        <f t="shared" si="44"/>
        <v>613401.00440223538</v>
      </c>
      <c r="AV24" s="22">
        <f t="shared" si="44"/>
        <v>625669.02449028008</v>
      </c>
      <c r="AW24" s="22">
        <f t="shared" si="44"/>
        <v>638182.40498008567</v>
      </c>
      <c r="AX24" s="22">
        <f t="shared" si="44"/>
        <v>650946.05307968741</v>
      </c>
      <c r="AY24" s="22">
        <f t="shared" si="44"/>
        <v>663964.97414128121</v>
      </c>
      <c r="AZ24" s="22">
        <f t="shared" si="44"/>
        <v>677244.27362410689</v>
      </c>
      <c r="BA24" s="22">
        <f t="shared" si="44"/>
        <v>690789.15909658908</v>
      </c>
      <c r="BB24" s="22">
        <f t="shared" si="44"/>
        <v>704604.9422785209</v>
      </c>
      <c r="BC24" s="22">
        <f t="shared" si="44"/>
        <v>718697.04112409137</v>
      </c>
      <c r="BD24" s="22">
        <f t="shared" si="44"/>
        <v>733070.98194657324</v>
      </c>
      <c r="BE24" s="22">
        <f t="shared" si="44"/>
        <v>747732.40158550476</v>
      </c>
      <c r="BF24" s="22">
        <f t="shared" si="44"/>
        <v>762687.04961721483</v>
      </c>
      <c r="BG24" s="22">
        <f t="shared" si="44"/>
        <v>777940.79060955916</v>
      </c>
      <c r="BH24" s="22">
        <f t="shared" si="44"/>
        <v>793499.60642175039</v>
      </c>
      <c r="BI24" s="22">
        <f t="shared" si="44"/>
        <v>809369.59855018544</v>
      </c>
      <c r="BJ24" s="22">
        <f t="shared" si="44"/>
        <v>825556.99052118917</v>
      </c>
      <c r="BK24" s="22">
        <f t="shared" si="44"/>
        <v>842068.13033161301</v>
      </c>
      <c r="BL24" s="22">
        <f t="shared" si="44"/>
        <v>858909.4929382453</v>
      </c>
      <c r="BM24" s="22">
        <f t="shared" si="44"/>
        <v>876087.68279701017</v>
      </c>
      <c r="BN24" s="22">
        <f t="shared" si="44"/>
        <v>893609.43645295035</v>
      </c>
      <c r="BO24" s="22">
        <f t="shared" si="44"/>
        <v>911481.62518200942</v>
      </c>
      <c r="BP24" s="22">
        <f t="shared" si="44"/>
        <v>929711.25768564967</v>
      </c>
      <c r="BQ24" s="22">
        <f t="shared" si="44"/>
        <v>948305.4828393627</v>
      </c>
      <c r="BR24" s="22">
        <f t="shared" si="44"/>
        <v>967271.59249614994</v>
      </c>
      <c r="BS24" s="22">
        <f t="shared" si="44"/>
        <v>986617.02434607293</v>
      </c>
      <c r="BT24" s="22">
        <f t="shared" si="44"/>
        <v>1006349.3648329944</v>
      </c>
      <c r="BU24" s="22">
        <f t="shared" si="44"/>
        <v>1026476.3521296543</v>
      </c>
      <c r="BV24" s="22">
        <f t="shared" si="44"/>
        <v>1047005.8791722474</v>
      </c>
      <c r="BW24" s="22">
        <f t="shared" si="44"/>
        <v>1067945.9967556924</v>
      </c>
      <c r="BX24" s="22">
        <f t="shared" si="44"/>
        <v>1089304.9166908064</v>
      </c>
      <c r="BY24" s="22">
        <f t="shared" si="44"/>
        <v>1111091.0150246224</v>
      </c>
      <c r="BZ24" s="22">
        <f t="shared" si="44"/>
        <v>1133312.8353251149</v>
      </c>
      <c r="CA24" s="22">
        <f t="shared" si="44"/>
        <v>1155979.0920316172</v>
      </c>
      <c r="CB24" s="22">
        <f t="shared" si="44"/>
        <v>1179098.6738722494</v>
      </c>
      <c r="CC24" s="22">
        <f t="shared" si="44"/>
        <v>1202680.6473496945</v>
      </c>
      <c r="CD24" s="22">
        <f t="shared" si="44"/>
        <v>1226734.2602966884</v>
      </c>
      <c r="CE24" s="22">
        <f t="shared" si="44"/>
        <v>1251268.9455026223</v>
      </c>
      <c r="CF24" s="22">
        <f t="shared" si="44"/>
        <v>1276294.3244126746</v>
      </c>
      <c r="CG24" s="22">
        <f t="shared" si="44"/>
        <v>1301820.2109009281</v>
      </c>
      <c r="CH24" s="22">
        <f t="shared" si="44"/>
        <v>1327856.6151189466</v>
      </c>
      <c r="CI24" s="22">
        <f t="shared" si="44"/>
        <v>1354413.7474213257</v>
      </c>
      <c r="CJ24" s="22">
        <f t="shared" si="44"/>
        <v>1381502.0223697522</v>
      </c>
      <c r="CK24" s="22">
        <f t="shared" si="44"/>
        <v>1409132.0628171472</v>
      </c>
      <c r="CL24" s="22">
        <f t="shared" si="44"/>
        <v>1437314.7040734901</v>
      </c>
      <c r="CM24" s="22">
        <f t="shared" si="44"/>
        <v>1466060.9981549599</v>
      </c>
      <c r="CN24" s="22">
        <f t="shared" si="44"/>
        <v>1495382.218118059</v>
      </c>
      <c r="CO24" s="22">
        <f t="shared" si="44"/>
        <v>1525289.8624804202</v>
      </c>
      <c r="CP24" s="22">
        <f t="shared" si="44"/>
        <v>1555795.6597300286</v>
      </c>
      <c r="CQ24" s="22">
        <f t="shared" si="44"/>
        <v>1586911.5729246291</v>
      </c>
      <c r="CR24" s="22">
        <f t="shared" si="44"/>
        <v>1618649.8043831217</v>
      </c>
      <c r="CS24" s="22">
        <f t="shared" si="44"/>
        <v>1651022.8004707841</v>
      </c>
      <c r="CT24" s="22">
        <f t="shared" si="44"/>
        <v>1684043.2564801998</v>
      </c>
      <c r="CU24" s="22">
        <f t="shared" si="44"/>
        <v>1717724.1216098038</v>
      </c>
      <c r="CV24" s="22">
        <f t="shared" si="44"/>
        <v>1752078.6040419999</v>
      </c>
      <c r="CW24" s="22">
        <f t="shared" si="44"/>
        <v>1787120.17612284</v>
      </c>
      <c r="CX24" s="22">
        <f t="shared" si="44"/>
        <v>1822862.5796452968</v>
      </c>
      <c r="CY24" s="22">
        <f t="shared" si="44"/>
        <v>1859319.8312382028</v>
      </c>
      <c r="CZ24" s="22">
        <f t="shared" si="44"/>
        <v>1896506.2278629669</v>
      </c>
      <c r="DA24" s="22">
        <f t="shared" si="44"/>
        <v>1934436.3524202262</v>
      </c>
      <c r="DB24" s="22">
        <f t="shared" ref="DB24:DO24" si="45">DA24*(1+$AS$28)</f>
        <v>1973125.0794686307</v>
      </c>
      <c r="DC24" s="22">
        <f t="shared" si="45"/>
        <v>2012587.5810580035</v>
      </c>
      <c r="DD24" s="22">
        <f t="shared" si="45"/>
        <v>2052839.3326791637</v>
      </c>
      <c r="DE24" s="22">
        <f t="shared" si="45"/>
        <v>2093896.1193327471</v>
      </c>
      <c r="DF24" s="22">
        <f t="shared" si="45"/>
        <v>2135774.0417194022</v>
      </c>
      <c r="DG24" s="22">
        <f t="shared" si="45"/>
        <v>2178489.5225537904</v>
      </c>
      <c r="DH24" s="22">
        <f t="shared" si="45"/>
        <v>2222059.3130048662</v>
      </c>
      <c r="DI24" s="22">
        <f t="shared" si="45"/>
        <v>2266500.4992649634</v>
      </c>
      <c r="DJ24" s="22">
        <f t="shared" si="45"/>
        <v>2311830.5092502628</v>
      </c>
      <c r="DK24" s="22">
        <f t="shared" si="45"/>
        <v>2358067.119435268</v>
      </c>
      <c r="DL24" s="22">
        <f t="shared" si="45"/>
        <v>2405228.4618239733</v>
      </c>
      <c r="DM24" s="22">
        <f t="shared" si="45"/>
        <v>2453333.031060453</v>
      </c>
      <c r="DN24" s="22">
        <f t="shared" si="45"/>
        <v>2502399.6916816621</v>
      </c>
      <c r="DO24" s="22">
        <f t="shared" si="45"/>
        <v>2552447.6855152952</v>
      </c>
    </row>
    <row r="25" spans="1:119" x14ac:dyDescent="0.35">
      <c r="A25" s="11" t="s">
        <v>63</v>
      </c>
      <c r="B25" s="11"/>
      <c r="C25" s="11"/>
      <c r="D25" s="11"/>
      <c r="E25" s="11"/>
      <c r="F25" s="11"/>
      <c r="G25" s="11"/>
      <c r="H25" s="11"/>
      <c r="I25" s="11"/>
      <c r="J25" s="11"/>
      <c r="K25" s="11"/>
      <c r="L25" s="12"/>
      <c r="M25" s="12"/>
      <c r="N25" s="12"/>
      <c r="O25" s="12"/>
      <c r="P25" s="11">
        <v>75456</v>
      </c>
      <c r="Q25" s="11"/>
      <c r="R25" s="11"/>
      <c r="AE25" s="57">
        <f t="shared" ref="AE25:AO25" si="46">AE24/AD24-1</f>
        <v>1.9161131552539783</v>
      </c>
      <c r="AF25" s="57">
        <f t="shared" si="46"/>
        <v>0.24406850742722175</v>
      </c>
      <c r="AG25" s="57">
        <f t="shared" si="46"/>
        <v>0.30887817210018698</v>
      </c>
      <c r="AH25" s="57">
        <f t="shared" si="46"/>
        <v>0.16285638170032013</v>
      </c>
      <c r="AI25" s="57">
        <f t="shared" si="46"/>
        <v>0.15837770966788223</v>
      </c>
      <c r="AJ25" s="57">
        <f t="shared" si="46"/>
        <v>0.15442777939795627</v>
      </c>
      <c r="AK25" s="57">
        <f t="shared" si="46"/>
        <v>0.15091873463097771</v>
      </c>
      <c r="AL25" s="57">
        <f t="shared" si="46"/>
        <v>0.14778116103834926</v>
      </c>
      <c r="AM25" s="57">
        <f t="shared" si="46"/>
        <v>0.14495948850975338</v>
      </c>
      <c r="AN25" s="57">
        <f t="shared" si="46"/>
        <v>0.14240870360726476</v>
      </c>
      <c r="AO25" s="57">
        <f t="shared" si="46"/>
        <v>2.0000000000000018E-2</v>
      </c>
    </row>
    <row r="26" spans="1:119" s="8" customFormat="1" x14ac:dyDescent="0.35">
      <c r="A26" s="13" t="s">
        <v>139</v>
      </c>
      <c r="B26" s="13"/>
      <c r="C26" s="13"/>
      <c r="D26" s="13"/>
      <c r="E26" s="13"/>
      <c r="F26" s="13"/>
      <c r="G26" s="13"/>
      <c r="H26" s="13"/>
      <c r="I26" s="13"/>
      <c r="J26" s="13"/>
      <c r="K26" s="14">
        <f t="shared" ref="K26:L26" si="47">K24-0.2*K24</f>
        <v>25388</v>
      </c>
      <c r="L26" s="14">
        <f t="shared" si="47"/>
        <v>18259.2</v>
      </c>
      <c r="M26" s="14">
        <f>M24-0.2*M24</f>
        <v>29547.200000000001</v>
      </c>
      <c r="N26" s="14">
        <f>N24-0.2*N24</f>
        <v>24495.200000000001</v>
      </c>
      <c r="O26" s="14"/>
      <c r="AE26" s="14"/>
      <c r="AF26" s="14"/>
      <c r="AG26" s="14"/>
    </row>
    <row r="27" spans="1:119" x14ac:dyDescent="0.35">
      <c r="A27" s="11" t="s">
        <v>29</v>
      </c>
      <c r="B27" s="11"/>
      <c r="C27" s="11"/>
      <c r="D27" s="11"/>
      <c r="E27" s="11"/>
      <c r="F27" s="11"/>
      <c r="G27" s="11"/>
      <c r="H27" s="11"/>
      <c r="I27" s="11"/>
      <c r="J27" s="11"/>
      <c r="K27" s="11"/>
      <c r="L27" s="12"/>
      <c r="M27" s="12"/>
      <c r="N27" s="12">
        <v>47051</v>
      </c>
      <c r="O27" s="12">
        <f>40580</f>
        <v>40580</v>
      </c>
      <c r="P27" s="11"/>
      <c r="Q27" s="11"/>
      <c r="R27" s="11"/>
      <c r="AC27" s="2" t="s">
        <v>138</v>
      </c>
      <c r="AD27" s="57">
        <f>AD23/AD22</f>
        <v>0.49943190652171315</v>
      </c>
      <c r="AE27" s="57">
        <f t="shared" ref="AE27:AN27" si="48">AE23/AE22</f>
        <v>0.25932736187979416</v>
      </c>
      <c r="AF27" s="57">
        <f t="shared" si="48"/>
        <v>0.28098799895265825</v>
      </c>
      <c r="AG27" s="57">
        <f t="shared" si="48"/>
        <v>0.3</v>
      </c>
      <c r="AH27" s="57">
        <f t="shared" si="48"/>
        <v>0.3</v>
      </c>
      <c r="AI27" s="57">
        <f t="shared" si="48"/>
        <v>0.3</v>
      </c>
      <c r="AJ27" s="57">
        <f t="shared" si="48"/>
        <v>0.3</v>
      </c>
      <c r="AK27" s="57">
        <f t="shared" si="48"/>
        <v>0.3</v>
      </c>
      <c r="AL27" s="57">
        <f t="shared" si="48"/>
        <v>0.3</v>
      </c>
      <c r="AM27" s="57">
        <f t="shared" si="48"/>
        <v>0.3</v>
      </c>
      <c r="AN27" s="57">
        <f t="shared" si="48"/>
        <v>0.3</v>
      </c>
    </row>
    <row r="28" spans="1:119" x14ac:dyDescent="0.35">
      <c r="A28" s="11" t="s">
        <v>30</v>
      </c>
      <c r="B28" s="11"/>
      <c r="C28" s="11"/>
      <c r="D28" s="11"/>
      <c r="E28" s="11"/>
      <c r="F28" s="11"/>
      <c r="G28" s="11"/>
      <c r="H28" s="11"/>
      <c r="I28" s="11"/>
      <c r="J28" s="11"/>
      <c r="K28" s="11"/>
      <c r="L28" s="12"/>
      <c r="M28" s="12"/>
      <c r="N28" s="12">
        <f>N24</f>
        <v>30619</v>
      </c>
      <c r="O28" s="11">
        <f>O24</f>
        <v>34613.600000000006</v>
      </c>
      <c r="P28" s="11"/>
      <c r="Q28" s="11"/>
      <c r="R28" s="11"/>
      <c r="AE28" s="12"/>
      <c r="AF28" s="12"/>
      <c r="AG28" s="12"/>
      <c r="AR28" s="8" t="s">
        <v>69</v>
      </c>
      <c r="AS28" s="17">
        <v>0.02</v>
      </c>
    </row>
    <row r="29" spans="1:119" x14ac:dyDescent="0.35">
      <c r="A29" s="11" t="s">
        <v>37</v>
      </c>
      <c r="B29" s="11"/>
      <c r="C29" s="11"/>
      <c r="D29" s="11"/>
      <c r="E29" s="11"/>
      <c r="F29" s="11"/>
      <c r="G29" s="11"/>
      <c r="H29" s="11"/>
      <c r="I29" s="11"/>
      <c r="J29" s="11"/>
      <c r="K29" s="11"/>
      <c r="L29" s="12"/>
      <c r="M29" s="11"/>
      <c r="N29" s="11">
        <f>N28*1000000/Main!L3</f>
        <v>5.2917730711375723</v>
      </c>
      <c r="O29" s="11">
        <f>O28*1000000/Main!L3</f>
        <v>5.9821456081233064</v>
      </c>
      <c r="P29" s="15"/>
      <c r="Q29" s="15"/>
      <c r="R29" s="15"/>
      <c r="AE29" s="12"/>
      <c r="AF29" s="12"/>
      <c r="AG29" s="12"/>
      <c r="AR29" s="8" t="s">
        <v>57</v>
      </c>
      <c r="AS29" s="18">
        <v>0.08</v>
      </c>
    </row>
    <row r="30" spans="1:119" x14ac:dyDescent="0.35">
      <c r="A30" s="11"/>
      <c r="B30" s="11"/>
      <c r="C30" s="11"/>
      <c r="D30" s="11"/>
      <c r="E30" s="11"/>
      <c r="F30" s="11"/>
      <c r="G30" s="11"/>
      <c r="H30" s="11"/>
      <c r="I30" s="11"/>
      <c r="J30" s="11"/>
      <c r="K30" s="11"/>
      <c r="L30" s="12"/>
      <c r="M30" s="11"/>
      <c r="N30" s="11"/>
      <c r="O30" s="11"/>
      <c r="P30" s="15"/>
      <c r="Q30" s="15"/>
      <c r="R30" s="15"/>
      <c r="AE30" s="12"/>
      <c r="AF30" s="12"/>
      <c r="AG30" s="12"/>
      <c r="AR30" s="8" t="s">
        <v>58</v>
      </c>
      <c r="AS30" s="18">
        <v>0.03</v>
      </c>
    </row>
    <row r="31" spans="1:119" x14ac:dyDescent="0.35">
      <c r="A31" s="13" t="s">
        <v>67</v>
      </c>
      <c r="B31" s="13"/>
      <c r="C31" s="13"/>
      <c r="D31" s="13"/>
      <c r="E31" s="60">
        <f>E19*100/E12</f>
        <v>27.213951644867223</v>
      </c>
      <c r="F31" s="60">
        <f t="shared" ref="F31:O31" si="49">F19*100/F12</f>
        <v>26.612883673568344</v>
      </c>
      <c r="G31" s="60">
        <f t="shared" si="49"/>
        <v>25.613072778595271</v>
      </c>
      <c r="H31" s="60">
        <f t="shared" si="49"/>
        <v>25.782541179080471</v>
      </c>
      <c r="I31" s="60">
        <f t="shared" si="49"/>
        <v>25.915925265678254</v>
      </c>
      <c r="J31" s="60">
        <f t="shared" si="49"/>
        <v>25.522745959607978</v>
      </c>
      <c r="K31" s="60">
        <f t="shared" si="49"/>
        <v>26.045507328584961</v>
      </c>
      <c r="L31" s="60">
        <f t="shared" si="49"/>
        <v>26.276692584371649</v>
      </c>
      <c r="M31" s="60">
        <f t="shared" si="49"/>
        <v>26.572423251397826</v>
      </c>
      <c r="N31" s="60">
        <f t="shared" si="49"/>
        <v>27.116354814393656</v>
      </c>
      <c r="O31" s="60">
        <f t="shared" si="49"/>
        <v>26.361196319018404</v>
      </c>
      <c r="P31" s="16"/>
      <c r="Q31" s="16"/>
      <c r="R31" s="16"/>
      <c r="S31" s="16"/>
      <c r="T31" s="13"/>
      <c r="U31" s="13"/>
      <c r="V31" s="13"/>
      <c r="W31" s="13"/>
      <c r="X31" s="13"/>
      <c r="Y31" s="13"/>
      <c r="Z31" s="13"/>
      <c r="AA31" s="13"/>
      <c r="AB31" s="13"/>
      <c r="AC31" s="13"/>
      <c r="AD31" s="60">
        <f t="shared" ref="AD31" si="50">AD19*100/AD12</f>
        <v>28.263034543547555</v>
      </c>
      <c r="AE31" s="60"/>
      <c r="AF31" s="60"/>
      <c r="AG31" s="13"/>
      <c r="AH31" s="13"/>
      <c r="AI31" s="13"/>
      <c r="AJ31" s="13"/>
      <c r="AK31" s="13"/>
      <c r="AL31" s="13"/>
      <c r="AM31" s="13"/>
      <c r="AN31" s="13"/>
      <c r="AR31" s="8" t="s">
        <v>59</v>
      </c>
      <c r="AS31" s="24">
        <f>NPV(AS29,AH24:DO24)</f>
        <v>7073293.1432491662</v>
      </c>
    </row>
    <row r="32" spans="1:119" x14ac:dyDescent="0.35">
      <c r="A32" s="13" t="s">
        <v>66</v>
      </c>
      <c r="B32" s="13"/>
      <c r="C32" s="13"/>
      <c r="D32" s="13"/>
      <c r="E32" s="60">
        <f>E13*100/E12</f>
        <v>35.846848989298451</v>
      </c>
      <c r="F32" s="60">
        <f t="shared" ref="F32:O32" si="51">F13*100/F12</f>
        <v>35.407069776463175</v>
      </c>
      <c r="G32" s="60">
        <f t="shared" si="51"/>
        <v>34.313180993169311</v>
      </c>
      <c r="H32" s="60">
        <f t="shared" si="51"/>
        <v>33.569130941156899</v>
      </c>
      <c r="I32" s="60">
        <f t="shared" si="51"/>
        <v>33.378611832842431</v>
      </c>
      <c r="J32" s="60">
        <f t="shared" si="51"/>
        <v>32.627437916894692</v>
      </c>
      <c r="K32" s="60">
        <f t="shared" si="51"/>
        <v>32.650063412728564</v>
      </c>
      <c r="L32" s="60">
        <f t="shared" si="51"/>
        <v>32.55641078475611</v>
      </c>
      <c r="M32" s="60">
        <f t="shared" si="51"/>
        <v>33.124274712522421</v>
      </c>
      <c r="N32" s="60">
        <f t="shared" si="51"/>
        <v>33.180687369918623</v>
      </c>
      <c r="O32" s="60">
        <f t="shared" si="51"/>
        <v>33</v>
      </c>
      <c r="P32" s="16"/>
      <c r="Q32" s="16"/>
      <c r="R32" s="16"/>
      <c r="S32" s="16"/>
      <c r="T32" s="16"/>
      <c r="U32" s="16"/>
      <c r="V32" s="16"/>
      <c r="W32" s="16"/>
      <c r="X32" s="16"/>
      <c r="Y32" s="16"/>
      <c r="Z32" s="16"/>
      <c r="AA32" s="8"/>
      <c r="AB32" s="8"/>
      <c r="AC32" s="8"/>
      <c r="AD32" s="60">
        <f>AD13*100/AD12</f>
        <v>36.594431898545622</v>
      </c>
      <c r="AE32" s="60"/>
      <c r="AF32" s="60"/>
      <c r="AG32" s="12"/>
      <c r="AH32" s="8"/>
      <c r="AI32" s="8"/>
      <c r="AJ32" s="8"/>
      <c r="AK32" s="8"/>
      <c r="AL32" s="8"/>
      <c r="AM32" s="8"/>
      <c r="AN32" s="8"/>
      <c r="AO32" s="8"/>
      <c r="AP32" s="8"/>
      <c r="AR32" s="8" t="s">
        <v>60</v>
      </c>
      <c r="AS32" s="24">
        <f>AS31+Main!L6-Main!L5</f>
        <v>7084152.7432491658</v>
      </c>
      <c r="AT32" s="8"/>
      <c r="AU32" s="8"/>
      <c r="AV32" s="8"/>
      <c r="AW32" s="8"/>
      <c r="AX32" s="8"/>
      <c r="AY32" s="8"/>
      <c r="AZ32" s="8"/>
      <c r="BA32" s="8"/>
      <c r="BB32" s="8"/>
      <c r="BC32" s="8"/>
      <c r="BD32" s="8"/>
      <c r="BE32" s="8"/>
      <c r="BF32" s="8"/>
      <c r="BG32" s="8"/>
      <c r="BH32" s="8"/>
      <c r="BI32" s="8"/>
      <c r="BJ32" s="8"/>
      <c r="BK32" s="8"/>
    </row>
    <row r="33" spans="1:45" s="8" customFormat="1" x14ac:dyDescent="0.35">
      <c r="A33" s="13" t="s">
        <v>35</v>
      </c>
      <c r="B33" s="13"/>
      <c r="C33" s="13"/>
      <c r="D33" s="13"/>
      <c r="E33" s="16">
        <f>I12/E12-1</f>
        <v>0.15081728101466507</v>
      </c>
      <c r="F33" s="16">
        <f t="shared" ref="F33:K33" si="52">J12/F12-1</f>
        <v>0.14630206565485149</v>
      </c>
      <c r="G33" s="16">
        <f t="shared" si="52"/>
        <v>6.9955855324557836E-2</v>
      </c>
      <c r="H33" s="16">
        <f t="shared" si="52"/>
        <v>6.3149575730686136E-2</v>
      </c>
      <c r="I33" s="16">
        <f t="shared" si="52"/>
        <v>4.4693460884611458E-2</v>
      </c>
      <c r="J33" s="16">
        <f t="shared" si="52"/>
        <v>2.76436047725932E-2</v>
      </c>
      <c r="K33" s="16">
        <f t="shared" si="52"/>
        <v>0.11649212558395905</v>
      </c>
      <c r="L33" s="16">
        <f t="shared" ref="L33" si="53">P12/L12-1</f>
        <v>0.18935400489836796</v>
      </c>
      <c r="M33" s="16">
        <f t="shared" ref="M33" si="54">Q12/M12-1</f>
        <v>0.29884270492667997</v>
      </c>
      <c r="N33" s="16">
        <f t="shared" ref="N33" si="55">R12/N12-1</f>
        <v>0.36832545491498569</v>
      </c>
      <c r="O33" s="16">
        <f t="shared" ref="O33" si="56">S12/O12-1</f>
        <v>0.3765722653374235</v>
      </c>
      <c r="P33" s="18"/>
      <c r="Q33" s="18"/>
      <c r="R33" s="18"/>
      <c r="S33" s="18"/>
      <c r="T33" s="18"/>
      <c r="U33" s="18"/>
      <c r="V33" s="18"/>
      <c r="W33" s="18"/>
      <c r="X33" s="18"/>
      <c r="Y33" s="18"/>
      <c r="Z33" s="18"/>
      <c r="AD33" s="16"/>
      <c r="AE33" s="16"/>
      <c r="AF33" s="16"/>
      <c r="AG33" s="12"/>
      <c r="AQ33" s="2"/>
      <c r="AR33" s="8" t="s">
        <v>61</v>
      </c>
      <c r="AS33" s="14">
        <f>Main!L3</f>
        <v>5786151369</v>
      </c>
    </row>
    <row r="34" spans="1:45" s="8" customFormat="1" x14ac:dyDescent="0.35">
      <c r="A34" s="19" t="s">
        <v>64</v>
      </c>
      <c r="B34" s="13"/>
      <c r="C34" s="13"/>
      <c r="D34" s="13"/>
      <c r="E34" s="13">
        <f>E23*100/E22</f>
        <v>38.473629060426127</v>
      </c>
      <c r="F34" s="13">
        <f t="shared" ref="F34:K34" si="57">F23*100/F22</f>
        <v>32.755956026011141</v>
      </c>
      <c r="G34" s="13">
        <f t="shared" si="57"/>
        <v>30.693612655388801</v>
      </c>
      <c r="H34" s="13">
        <f t="shared" si="57"/>
        <v>22.751983077736647</v>
      </c>
      <c r="I34" s="13">
        <f t="shared" si="57"/>
        <v>17.856333559936552</v>
      </c>
      <c r="J34" s="13">
        <f t="shared" si="57"/>
        <v>7.0557546709647321</v>
      </c>
      <c r="K34" s="13">
        <f t="shared" si="57"/>
        <v>36.275100401606423</v>
      </c>
      <c r="L34" s="16"/>
      <c r="M34" s="16"/>
      <c r="N34" s="16"/>
      <c r="O34" s="16"/>
      <c r="P34" s="16"/>
      <c r="Q34" s="16"/>
      <c r="R34" s="16"/>
      <c r="S34" s="16"/>
      <c r="T34" s="16"/>
      <c r="U34" s="16"/>
      <c r="V34" s="16"/>
      <c r="W34" s="16"/>
      <c r="X34" s="16"/>
      <c r="Y34" s="16"/>
      <c r="Z34" s="16"/>
      <c r="AD34" s="13">
        <f t="shared" ref="AD34" si="58">AD23*100/AD22</f>
        <v>49.94319065217131</v>
      </c>
      <c r="AE34" s="13"/>
      <c r="AF34" s="13"/>
      <c r="AG34" s="12"/>
      <c r="AQ34" s="2"/>
      <c r="AR34" s="8" t="s">
        <v>62</v>
      </c>
      <c r="AS34" s="8">
        <f>AS31*1000000/AS33</f>
        <v>1222.4521434308101</v>
      </c>
    </row>
    <row r="35" spans="1:45" s="8" customFormat="1" x14ac:dyDescent="0.35">
      <c r="A35" s="13" t="s">
        <v>36</v>
      </c>
      <c r="B35" s="13"/>
      <c r="C35" s="13"/>
      <c r="D35" s="13"/>
      <c r="E35" s="60">
        <f>E24*100/E12</f>
        <v>6.7024970273483948</v>
      </c>
      <c r="F35" s="60">
        <f t="shared" ref="F35:K35" si="59">F24*100/F12</f>
        <v>6.9885564660815591</v>
      </c>
      <c r="G35" s="60">
        <f t="shared" si="59"/>
        <v>8.3156315665920424</v>
      </c>
      <c r="H35" s="60">
        <f t="shared" si="59"/>
        <v>10.126726193777383</v>
      </c>
      <c r="I35" s="60">
        <f t="shared" si="59"/>
        <v>9.9879043034779951</v>
      </c>
      <c r="J35" s="60">
        <f t="shared" si="59"/>
        <v>11.5867312812134</v>
      </c>
      <c r="K35" s="60">
        <f t="shared" si="59"/>
        <v>8.4911516500687636</v>
      </c>
      <c r="L35" s="16"/>
      <c r="M35" s="16"/>
      <c r="N35" s="16"/>
      <c r="O35" s="16"/>
      <c r="P35" s="16"/>
      <c r="Q35" s="16"/>
      <c r="R35" s="16"/>
      <c r="S35" s="16"/>
      <c r="T35" s="16"/>
      <c r="U35" s="16"/>
      <c r="V35" s="16"/>
      <c r="W35" s="16"/>
      <c r="X35" s="16"/>
      <c r="Y35" s="16"/>
      <c r="Z35" s="16"/>
      <c r="AD35" s="60">
        <f t="shared" ref="AD35" si="60">AD24*100/AD12</f>
        <v>3.5747839960642698</v>
      </c>
      <c r="AE35" s="60"/>
      <c r="AF35" s="60"/>
      <c r="AG35" s="12"/>
      <c r="AJ35" s="8" t="s">
        <v>68</v>
      </c>
      <c r="AQ35" s="2"/>
      <c r="AR35" s="2"/>
      <c r="AS35" s="2"/>
    </row>
    <row r="36" spans="1:45" x14ac:dyDescent="0.35">
      <c r="A36" s="11"/>
      <c r="B36" s="11"/>
      <c r="C36" s="11"/>
      <c r="D36" s="11"/>
      <c r="E36" s="11"/>
      <c r="F36" s="11"/>
      <c r="G36" s="11"/>
      <c r="H36" s="11"/>
      <c r="I36" s="11"/>
      <c r="J36" s="11"/>
      <c r="K36" s="11"/>
      <c r="L36" s="12"/>
      <c r="M36" s="11"/>
      <c r="N36" s="11"/>
      <c r="O36" s="11"/>
    </row>
    <row r="37" spans="1:45" x14ac:dyDescent="0.35">
      <c r="A37" s="11"/>
      <c r="B37" s="11"/>
      <c r="C37" s="11"/>
      <c r="D37" s="11"/>
      <c r="E37" s="11"/>
      <c r="F37" s="11"/>
      <c r="G37" s="11"/>
      <c r="H37" s="11"/>
      <c r="I37" s="11"/>
      <c r="J37" s="11"/>
      <c r="K37" s="11"/>
      <c r="L37" s="12"/>
      <c r="M37" s="11"/>
      <c r="N37" s="11"/>
      <c r="O37" s="11"/>
    </row>
    <row r="38" spans="1:45" x14ac:dyDescent="0.35">
      <c r="A38" s="11"/>
      <c r="B38" s="11"/>
      <c r="C38" s="11"/>
      <c r="D38" s="11"/>
      <c r="E38" s="11"/>
      <c r="F38" s="57">
        <f>AVERAGE(E33:K33)</f>
        <v>8.8436281280846324E-2</v>
      </c>
      <c r="G38" s="11"/>
      <c r="H38" s="11"/>
      <c r="I38" s="11"/>
      <c r="J38" s="11"/>
      <c r="K38" s="11"/>
      <c r="L38" s="12"/>
      <c r="M38" s="11"/>
      <c r="N38" s="11"/>
      <c r="O38" s="11"/>
    </row>
    <row r="39" spans="1:45" ht="15" customHeight="1" x14ac:dyDescent="0.35">
      <c r="A39" s="11" t="s">
        <v>31</v>
      </c>
      <c r="B39" s="11"/>
      <c r="C39" s="11"/>
      <c r="D39" s="11"/>
      <c r="E39" s="11"/>
      <c r="F39" s="11"/>
      <c r="G39" s="11"/>
      <c r="H39" s="11"/>
      <c r="I39" s="11"/>
      <c r="J39" s="11"/>
      <c r="K39" s="11"/>
      <c r="L39" s="12">
        <v>1655598</v>
      </c>
      <c r="M39" s="12">
        <v>1714565</v>
      </c>
      <c r="N39" s="12">
        <f>1755878</f>
        <v>1755878</v>
      </c>
      <c r="O39" s="12">
        <f>1087108</f>
        <v>1087108</v>
      </c>
    </row>
    <row r="40" spans="1:45" x14ac:dyDescent="0.35">
      <c r="A40" s="11" t="s">
        <v>32</v>
      </c>
      <c r="B40" s="11"/>
      <c r="C40" s="11"/>
      <c r="D40" s="11"/>
      <c r="E40" s="11"/>
      <c r="F40" s="11"/>
      <c r="G40" s="11"/>
      <c r="H40" s="11"/>
      <c r="I40" s="11"/>
      <c r="J40" s="11"/>
      <c r="K40" s="11"/>
      <c r="L40" s="12">
        <v>263000</v>
      </c>
      <c r="M40" s="12">
        <f>265017</f>
        <v>265017</v>
      </c>
      <c r="N40" s="12">
        <v>263000</v>
      </c>
      <c r="O40" s="12">
        <v>262555</v>
      </c>
    </row>
    <row r="41" spans="1:45" x14ac:dyDescent="0.35">
      <c r="A41" s="20" t="s">
        <v>33</v>
      </c>
      <c r="B41" s="11"/>
      <c r="C41" s="11"/>
      <c r="D41" s="11"/>
      <c r="E41" s="11"/>
      <c r="F41" s="11"/>
      <c r="G41" s="11"/>
      <c r="H41" s="11"/>
      <c r="I41" s="11"/>
      <c r="J41" s="11"/>
      <c r="K41" s="11"/>
      <c r="L41" s="12">
        <v>88000</v>
      </c>
      <c r="M41" s="12">
        <v>89077</v>
      </c>
      <c r="N41" s="12">
        <v>88000</v>
      </c>
      <c r="O41" s="12">
        <v>87533</v>
      </c>
    </row>
    <row r="42" spans="1:45" x14ac:dyDescent="0.35">
      <c r="A42" s="11" t="s">
        <v>34</v>
      </c>
      <c r="B42" s="11"/>
      <c r="C42" s="11"/>
      <c r="D42" s="11"/>
      <c r="E42" s="11"/>
      <c r="F42" s="11"/>
      <c r="G42" s="11"/>
      <c r="H42" s="11"/>
      <c r="I42" s="11"/>
      <c r="J42" s="11"/>
      <c r="K42" s="11"/>
      <c r="L42" s="12">
        <v>1521942</v>
      </c>
      <c r="M42" s="12">
        <v>1487507</v>
      </c>
      <c r="N42" s="2">
        <v>1470190</v>
      </c>
      <c r="O42" s="12">
        <f>1179020</f>
        <v>1179020</v>
      </c>
      <c r="S42" s="21"/>
      <c r="T42" s="21"/>
    </row>
    <row r="43" spans="1:45" x14ac:dyDescent="0.35">
      <c r="A43" s="11" t="s">
        <v>38</v>
      </c>
      <c r="B43" s="11"/>
      <c r="C43" s="11"/>
      <c r="D43" s="11"/>
      <c r="E43" s="11"/>
      <c r="F43" s="11"/>
      <c r="G43" s="11"/>
      <c r="H43" s="11"/>
      <c r="I43" s="11"/>
      <c r="J43" s="11"/>
      <c r="K43" s="11"/>
      <c r="L43" s="12">
        <f>297756+844</f>
        <v>298600</v>
      </c>
      <c r="M43" s="12">
        <f>79694+924+2695+312404</f>
        <v>395717</v>
      </c>
      <c r="N43" s="12">
        <f>3606+327425</f>
        <v>331031</v>
      </c>
      <c r="O43" s="12">
        <f>70487+338041+3631+1194</f>
        <v>413353</v>
      </c>
    </row>
    <row r="44" spans="1:45" x14ac:dyDescent="0.35">
      <c r="A44" s="11" t="s">
        <v>39</v>
      </c>
      <c r="B44" s="11"/>
      <c r="C44" s="11"/>
      <c r="D44" s="11"/>
      <c r="E44" s="11"/>
      <c r="F44" s="11"/>
      <c r="G44" s="11"/>
      <c r="H44" s="11"/>
      <c r="I44" s="11"/>
      <c r="J44" s="11"/>
      <c r="K44" s="11"/>
      <c r="L44" s="12">
        <v>4000</v>
      </c>
      <c r="M44" s="12">
        <v>3639</v>
      </c>
      <c r="N44" s="12">
        <v>4000</v>
      </c>
      <c r="O44" s="12">
        <v>4361</v>
      </c>
    </row>
    <row r="45" spans="1:45" x14ac:dyDescent="0.35">
      <c r="A45" s="11" t="s">
        <v>53</v>
      </c>
      <c r="B45" s="11"/>
      <c r="C45" s="11"/>
      <c r="D45" s="11"/>
      <c r="E45" s="11"/>
      <c r="F45" s="11"/>
      <c r="G45" s="11"/>
      <c r="H45" s="11"/>
      <c r="I45" s="11"/>
      <c r="J45" s="11"/>
      <c r="K45" s="11"/>
      <c r="L45" s="12">
        <v>55099</v>
      </c>
      <c r="M45" s="12">
        <f>47277</f>
        <v>47277</v>
      </c>
      <c r="N45" s="12">
        <v>50768</v>
      </c>
      <c r="O45" s="12">
        <f>56452</f>
        <v>56452</v>
      </c>
    </row>
    <row r="46" spans="1:45" x14ac:dyDescent="0.35">
      <c r="A46" s="11" t="s">
        <v>41</v>
      </c>
      <c r="B46" s="11"/>
      <c r="C46" s="11"/>
      <c r="D46" s="11"/>
      <c r="E46" s="11"/>
      <c r="F46" s="11"/>
      <c r="G46" s="11"/>
      <c r="H46" s="11"/>
      <c r="I46" s="11"/>
      <c r="J46" s="11"/>
      <c r="K46" s="11"/>
      <c r="L46" s="12"/>
      <c r="M46" s="12">
        <f>2695+1168+94244+249544</f>
        <v>347651</v>
      </c>
      <c r="N46" s="12"/>
      <c r="O46" s="12">
        <f>2711+455+246704</f>
        <v>249870</v>
      </c>
    </row>
    <row r="47" spans="1:45" s="8" customFormat="1" x14ac:dyDescent="0.35">
      <c r="A47" s="13" t="s">
        <v>40</v>
      </c>
      <c r="B47" s="13"/>
      <c r="C47" s="13"/>
      <c r="D47" s="13"/>
      <c r="E47" s="13"/>
      <c r="F47" s="13"/>
      <c r="G47" s="13"/>
      <c r="H47" s="13"/>
      <c r="I47" s="13"/>
      <c r="J47" s="14">
        <v>58799</v>
      </c>
      <c r="K47" s="14">
        <v>43656</v>
      </c>
      <c r="L47" s="14">
        <v>55169</v>
      </c>
      <c r="M47" s="14">
        <v>69155</v>
      </c>
      <c r="N47" s="14">
        <v>50179</v>
      </c>
      <c r="O47" s="14">
        <f>47380</f>
        <v>47380</v>
      </c>
    </row>
    <row r="48" spans="1:45" x14ac:dyDescent="0.35">
      <c r="A48" s="11" t="s">
        <v>54</v>
      </c>
      <c r="B48" s="11"/>
      <c r="C48" s="11"/>
      <c r="D48" s="11"/>
      <c r="E48" s="11"/>
      <c r="F48" s="11"/>
      <c r="G48" s="11"/>
      <c r="H48" s="11"/>
      <c r="I48" s="11"/>
      <c r="J48" s="11"/>
      <c r="K48" s="11"/>
      <c r="L48" s="12"/>
      <c r="M48" s="12">
        <f>253456</f>
        <v>253456</v>
      </c>
      <c r="N48" s="12">
        <v>382085</v>
      </c>
      <c r="O48" s="12">
        <f>266720</f>
        <v>266720</v>
      </c>
    </row>
    <row r="49" spans="1:32" s="8" customFormat="1" x14ac:dyDescent="0.35">
      <c r="A49" s="13" t="s">
        <v>42</v>
      </c>
      <c r="B49" s="13"/>
      <c r="C49" s="13"/>
      <c r="D49" s="13"/>
      <c r="E49" s="13"/>
      <c r="F49" s="13"/>
      <c r="G49" s="13"/>
      <c r="H49" s="13"/>
      <c r="I49" s="13"/>
      <c r="J49" s="13"/>
      <c r="K49" s="13"/>
      <c r="L49" s="14"/>
      <c r="M49" s="14">
        <f>209539+94487+12207+87262+351325+283282</f>
        <v>1038102</v>
      </c>
      <c r="N49" s="14">
        <f>361515+1727288</f>
        <v>2088803</v>
      </c>
      <c r="O49" s="14">
        <f>1165534+297870+96358</f>
        <v>1559762</v>
      </c>
    </row>
    <row r="50" spans="1:32" x14ac:dyDescent="0.35">
      <c r="A50" s="11" t="s">
        <v>43</v>
      </c>
      <c r="B50" s="11"/>
      <c r="C50" s="11"/>
      <c r="D50" s="11"/>
      <c r="E50" s="11"/>
      <c r="F50" s="11"/>
      <c r="G50" s="11"/>
      <c r="H50" s="11"/>
      <c r="I50" s="11"/>
      <c r="J50" s="11"/>
      <c r="K50" s="11"/>
      <c r="L50" s="12"/>
      <c r="M50" s="12">
        <f>33031</f>
        <v>33031</v>
      </c>
      <c r="N50" s="12">
        <v>16640</v>
      </c>
      <c r="O50" s="12">
        <f>695646+16773</f>
        <v>712419</v>
      </c>
    </row>
    <row r="51" spans="1:32" x14ac:dyDescent="0.35">
      <c r="A51" s="11" t="s">
        <v>45</v>
      </c>
      <c r="B51" s="11"/>
      <c r="C51" s="11"/>
      <c r="D51" s="11"/>
      <c r="E51" s="11"/>
      <c r="F51" s="11"/>
      <c r="G51" s="11"/>
      <c r="H51" s="11"/>
      <c r="I51" s="11"/>
      <c r="J51" s="12">
        <v>1030533</v>
      </c>
      <c r="K51" s="12">
        <v>1034039</v>
      </c>
      <c r="L51" s="12">
        <v>1035439</v>
      </c>
      <c r="M51" s="11">
        <v>1055639</v>
      </c>
      <c r="N51" s="12">
        <v>1120338</v>
      </c>
      <c r="O51" s="12">
        <f>870974+232056</f>
        <v>1103030</v>
      </c>
    </row>
    <row r="52" spans="1:32" x14ac:dyDescent="0.35">
      <c r="A52" s="11" t="s">
        <v>44</v>
      </c>
      <c r="B52" s="11"/>
      <c r="C52" s="11"/>
      <c r="D52" s="11"/>
      <c r="E52" s="11"/>
      <c r="F52" s="11"/>
      <c r="G52" s="11"/>
      <c r="H52" s="11"/>
      <c r="I52" s="11"/>
      <c r="J52" s="11"/>
      <c r="K52" s="11"/>
      <c r="L52" s="12"/>
      <c r="M52" s="12">
        <v>4445310</v>
      </c>
      <c r="N52" s="12">
        <v>4450907</v>
      </c>
      <c r="O52" s="12">
        <f>SUM(O49:O50)+O51</f>
        <v>3375211</v>
      </c>
    </row>
    <row r="53" spans="1:32" x14ac:dyDescent="0.35">
      <c r="A53" s="11"/>
      <c r="B53" s="11"/>
      <c r="C53" s="11"/>
      <c r="D53" s="11"/>
      <c r="E53" s="11"/>
      <c r="F53" s="11"/>
      <c r="G53" s="11"/>
      <c r="H53" s="11"/>
      <c r="I53" s="11"/>
      <c r="J53" s="11"/>
      <c r="K53" s="11"/>
      <c r="L53" s="11"/>
      <c r="M53" s="11"/>
      <c r="N53" s="12"/>
      <c r="O53" s="12"/>
    </row>
    <row r="54" spans="1:32" x14ac:dyDescent="0.35">
      <c r="A54" s="11"/>
      <c r="B54" s="11"/>
      <c r="C54" s="11"/>
      <c r="D54" s="11"/>
      <c r="E54" s="11"/>
      <c r="F54" s="11"/>
      <c r="G54" s="11"/>
      <c r="H54" s="11"/>
      <c r="I54" s="11"/>
      <c r="J54" s="11"/>
      <c r="K54" s="11"/>
      <c r="L54" s="11"/>
      <c r="M54" s="11"/>
      <c r="N54" s="12"/>
      <c r="O54" s="12"/>
    </row>
    <row r="55" spans="1:32" x14ac:dyDescent="0.35">
      <c r="A55" s="11" t="s">
        <v>46</v>
      </c>
      <c r="B55" s="11"/>
      <c r="C55" s="11"/>
      <c r="D55" s="11"/>
      <c r="E55" s="11"/>
      <c r="F55" s="11"/>
      <c r="G55" s="11"/>
      <c r="H55" s="11"/>
      <c r="I55" s="11"/>
      <c r="J55" s="12">
        <v>222866</v>
      </c>
      <c r="K55" s="12">
        <v>196617</v>
      </c>
      <c r="L55" s="12">
        <v>217436</v>
      </c>
      <c r="M55" s="12">
        <v>180501</v>
      </c>
      <c r="N55" s="12">
        <v>218034</v>
      </c>
      <c r="O55" s="12">
        <f>467341</f>
        <v>467341</v>
      </c>
      <c r="AE55" s="12">
        <f>SUM(J55:M55)</f>
        <v>817420</v>
      </c>
      <c r="AF55" s="12"/>
    </row>
    <row r="56" spans="1:32" x14ac:dyDescent="0.35">
      <c r="A56" s="11" t="s">
        <v>47</v>
      </c>
      <c r="B56" s="11"/>
      <c r="C56" s="11"/>
      <c r="D56" s="11"/>
      <c r="E56" s="11"/>
      <c r="F56" s="11"/>
      <c r="G56" s="11"/>
      <c r="H56" s="11"/>
      <c r="I56" s="11"/>
      <c r="J56" s="12">
        <v>90931</v>
      </c>
      <c r="K56" s="12">
        <v>97060</v>
      </c>
      <c r="L56" s="12">
        <v>98723</v>
      </c>
      <c r="M56" s="12">
        <v>93973</v>
      </c>
      <c r="N56" s="12">
        <f>80070</f>
        <v>80070</v>
      </c>
      <c r="O56" s="12">
        <f>194795</f>
        <v>194795</v>
      </c>
      <c r="AE56" s="12">
        <f t="shared" ref="AE56:AE57" si="61">SUM(J56:M56)</f>
        <v>380687</v>
      </c>
      <c r="AF56" s="12"/>
    </row>
    <row r="57" spans="1:32" x14ac:dyDescent="0.35">
      <c r="A57" s="13" t="s">
        <v>48</v>
      </c>
      <c r="B57" s="13"/>
      <c r="C57" s="13"/>
      <c r="D57" s="13"/>
      <c r="E57" s="13"/>
      <c r="F57" s="13"/>
      <c r="G57" s="13"/>
      <c r="H57" s="13"/>
      <c r="I57" s="13"/>
      <c r="J57" s="14">
        <f t="shared" ref="J57:O57" si="62">J55-J56</f>
        <v>131935</v>
      </c>
      <c r="K57" s="14">
        <f t="shared" si="62"/>
        <v>99557</v>
      </c>
      <c r="L57" s="14">
        <f t="shared" si="62"/>
        <v>118713</v>
      </c>
      <c r="M57" s="14">
        <f t="shared" si="62"/>
        <v>86528</v>
      </c>
      <c r="N57" s="14">
        <f t="shared" si="62"/>
        <v>137964</v>
      </c>
      <c r="O57" s="14">
        <f t="shared" si="62"/>
        <v>272546</v>
      </c>
      <c r="P57" s="14"/>
      <c r="Q57" s="13"/>
      <c r="R57" s="13"/>
      <c r="S57" s="13"/>
      <c r="AE57" s="12">
        <f t="shared" si="61"/>
        <v>436733</v>
      </c>
      <c r="AF57" s="12"/>
    </row>
  </sheetData>
  <pageMargins left="0.7" right="0.7" top="0.75" bottom="0.75" header="0.3" footer="0.3"/>
  <pageSetup orientation="portrait" r:id="rId1"/>
  <drawing r:id="rId2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27C6DFB-D5DA-45A4-91A8-E60462084F5D}">
  <dimension ref="A3:L50"/>
  <sheetViews>
    <sheetView topLeftCell="A4" workbookViewId="0">
      <selection activeCell="C7" sqref="C7"/>
    </sheetView>
  </sheetViews>
  <sheetFormatPr defaultRowHeight="14.4" x14ac:dyDescent="0.3"/>
  <cols>
    <col min="2" max="2" width="15.88671875" customWidth="1"/>
    <col min="3" max="3" width="30.33203125" customWidth="1"/>
    <col min="4" max="4" width="23.5546875" customWidth="1"/>
    <col min="5" max="5" width="31.77734375" customWidth="1"/>
    <col min="6" max="6" width="29.88671875" customWidth="1"/>
    <col min="7" max="7" width="31.88671875" customWidth="1"/>
    <col min="8" max="8" width="32.33203125" customWidth="1"/>
    <col min="9" max="9" width="26.109375" customWidth="1"/>
    <col min="11" max="11" width="21.44140625" customWidth="1"/>
    <col min="12" max="12" width="16.33203125" customWidth="1"/>
  </cols>
  <sheetData>
    <row r="3" spans="1:12" ht="18" x14ac:dyDescent="0.35">
      <c r="C3" s="28" t="s">
        <v>79</v>
      </c>
      <c r="D3" s="28" t="s">
        <v>79</v>
      </c>
      <c r="E3" s="28" t="s">
        <v>79</v>
      </c>
      <c r="F3" s="28" t="s">
        <v>79</v>
      </c>
    </row>
    <row r="4" spans="1:12" ht="18" x14ac:dyDescent="0.35">
      <c r="B4" s="8" t="s">
        <v>80</v>
      </c>
      <c r="C4" s="28">
        <v>1</v>
      </c>
      <c r="D4" s="8">
        <f>C4+1</f>
        <v>2</v>
      </c>
      <c r="E4" s="8">
        <f t="shared" ref="E4:F4" si="0">D4+1</f>
        <v>3</v>
      </c>
      <c r="F4" s="8">
        <f t="shared" si="0"/>
        <v>4</v>
      </c>
      <c r="G4" s="8"/>
      <c r="H4" s="8"/>
      <c r="J4" s="8"/>
      <c r="K4" s="8"/>
      <c r="L4" s="8"/>
    </row>
    <row r="5" spans="1:12" ht="18" x14ac:dyDescent="0.35">
      <c r="A5" s="8"/>
      <c r="B5" s="8"/>
      <c r="C5" s="8"/>
      <c r="D5" s="8"/>
      <c r="E5" s="8"/>
      <c r="F5" s="8"/>
      <c r="G5" s="8"/>
      <c r="H5" s="8"/>
      <c r="I5" s="16">
        <f>I8-I7</f>
        <v>1.9749999999999997E-2</v>
      </c>
      <c r="J5" s="8"/>
      <c r="K5" s="8"/>
      <c r="L5" s="8"/>
    </row>
    <row r="6" spans="1:12" ht="18" x14ac:dyDescent="0.35">
      <c r="B6" s="29" t="s">
        <v>81</v>
      </c>
      <c r="C6" s="29">
        <v>10000</v>
      </c>
      <c r="D6" s="30" t="s">
        <v>82</v>
      </c>
      <c r="E6" s="30" t="s">
        <v>83</v>
      </c>
      <c r="F6" s="30" t="s">
        <v>84</v>
      </c>
      <c r="G6" s="8"/>
      <c r="H6" s="31" t="s">
        <v>85</v>
      </c>
      <c r="I6" s="32">
        <f>I5/I9</f>
        <v>2.205534030237271</v>
      </c>
      <c r="J6" s="8"/>
      <c r="K6" s="31" t="s">
        <v>86</v>
      </c>
      <c r="L6" s="33">
        <f>D32</f>
        <v>-0.13452844894777846</v>
      </c>
    </row>
    <row r="7" spans="1:12" ht="18" x14ac:dyDescent="0.35">
      <c r="B7" s="34" t="s">
        <v>87</v>
      </c>
      <c r="C7" s="35">
        <f>C6/4</f>
        <v>2500</v>
      </c>
      <c r="D7" s="36">
        <v>0.05</v>
      </c>
      <c r="E7" s="35">
        <f>$D7*C7+C7</f>
        <v>2625</v>
      </c>
      <c r="F7" s="35">
        <f>E7-C7</f>
        <v>125</v>
      </c>
      <c r="G7" s="8"/>
      <c r="H7" s="29" t="s">
        <v>88</v>
      </c>
      <c r="I7" s="37">
        <v>4.2500000000000003E-2</v>
      </c>
      <c r="J7" s="8"/>
      <c r="K7" s="31" t="s">
        <v>89</v>
      </c>
      <c r="L7" s="33">
        <f>H29</f>
        <v>2.6569368667186261E-3</v>
      </c>
    </row>
    <row r="8" spans="1:12" ht="18" x14ac:dyDescent="0.35">
      <c r="B8" s="34" t="s">
        <v>90</v>
      </c>
      <c r="C8" s="35">
        <f>C6/4</f>
        <v>2500</v>
      </c>
      <c r="D8" s="36">
        <v>0.06</v>
      </c>
      <c r="E8" s="35">
        <f>$D8*C8+C8</f>
        <v>2650</v>
      </c>
      <c r="F8" s="35">
        <f t="shared" ref="F8:F10" si="1">E8-C8</f>
        <v>150</v>
      </c>
      <c r="G8" s="8"/>
      <c r="H8" s="29" t="s">
        <v>91</v>
      </c>
      <c r="I8" s="37">
        <f>D14</f>
        <v>6.225E-2</v>
      </c>
      <c r="J8" s="8"/>
      <c r="K8" s="8"/>
      <c r="L8" s="8"/>
    </row>
    <row r="9" spans="1:12" ht="18" x14ac:dyDescent="0.35">
      <c r="B9" s="34" t="s">
        <v>92</v>
      </c>
      <c r="C9" s="35">
        <f>C6/4</f>
        <v>2500</v>
      </c>
      <c r="D9" s="36">
        <v>6.4000000000000001E-2</v>
      </c>
      <c r="E9" s="35">
        <f>$D9*C9+C9</f>
        <v>2660</v>
      </c>
      <c r="F9" s="35">
        <f t="shared" si="1"/>
        <v>160</v>
      </c>
      <c r="G9" s="8"/>
      <c r="H9" s="29" t="s">
        <v>93</v>
      </c>
      <c r="I9" s="37">
        <f>_xlfn.STDEV.P(D7:D10)</f>
        <v>8.9547473442861802E-3</v>
      </c>
      <c r="J9" s="8"/>
      <c r="K9" s="31" t="s">
        <v>94</v>
      </c>
      <c r="L9" s="33"/>
    </row>
    <row r="10" spans="1:12" ht="18" x14ac:dyDescent="0.35">
      <c r="B10" s="34" t="s">
        <v>95</v>
      </c>
      <c r="C10" s="35">
        <f>C6/4</f>
        <v>2500</v>
      </c>
      <c r="D10" s="36">
        <v>7.4999999999999997E-2</v>
      </c>
      <c r="E10" s="35">
        <f>$D10*C10+C10</f>
        <v>2687.5</v>
      </c>
      <c r="F10" s="35">
        <f t="shared" si="1"/>
        <v>187.5</v>
      </c>
      <c r="G10" s="8"/>
      <c r="H10" s="8"/>
      <c r="I10" s="8"/>
      <c r="J10" s="8"/>
      <c r="K10" s="31" t="s">
        <v>96</v>
      </c>
      <c r="L10" s="32">
        <f>(I8-I7)/L6</f>
        <v>-0.14680909617612994</v>
      </c>
    </row>
    <row r="11" spans="1:12" ht="18" x14ac:dyDescent="0.35">
      <c r="A11" s="8"/>
      <c r="G11" s="8"/>
      <c r="H11" s="31" t="s">
        <v>97</v>
      </c>
      <c r="I11" s="33"/>
      <c r="J11" s="8"/>
      <c r="L11" s="8"/>
    </row>
    <row r="12" spans="1:12" ht="18" x14ac:dyDescent="0.35">
      <c r="A12" s="8"/>
      <c r="B12" s="8"/>
      <c r="C12" s="35"/>
      <c r="D12" s="35">
        <f>SUM(E7:E10)</f>
        <v>10622.5</v>
      </c>
      <c r="E12" s="8"/>
      <c r="F12" s="8"/>
      <c r="G12" s="8"/>
      <c r="H12" s="31" t="s">
        <v>98</v>
      </c>
      <c r="I12" s="33"/>
      <c r="J12" s="8"/>
      <c r="K12" s="31" t="s">
        <v>99</v>
      </c>
      <c r="L12" s="8"/>
    </row>
    <row r="13" spans="1:12" ht="18" x14ac:dyDescent="0.35">
      <c r="A13" s="8"/>
      <c r="B13" s="8"/>
      <c r="C13" s="35" t="s">
        <v>100</v>
      </c>
      <c r="D13" s="35">
        <f>D12-C6</f>
        <v>622.5</v>
      </c>
      <c r="E13" s="8"/>
      <c r="F13" s="8"/>
      <c r="G13" s="8"/>
      <c r="H13" s="31" t="s">
        <v>93</v>
      </c>
      <c r="I13" s="33" t="e" cm="1">
        <f t="array" ref="I13">stdev</f>
        <v>#NAME?</v>
      </c>
      <c r="J13" s="8"/>
      <c r="K13" s="31" t="s">
        <v>101</v>
      </c>
      <c r="L13" s="8"/>
    </row>
    <row r="14" spans="1:12" ht="18" x14ac:dyDescent="0.35">
      <c r="A14" s="8"/>
      <c r="B14" s="8"/>
      <c r="C14" s="35" t="s">
        <v>102</v>
      </c>
      <c r="D14" s="36">
        <f>D13/C6</f>
        <v>6.225E-2</v>
      </c>
      <c r="E14" s="8"/>
      <c r="F14" s="8"/>
      <c r="G14" s="18"/>
      <c r="H14" s="31" t="s">
        <v>103</v>
      </c>
      <c r="I14" s="33"/>
      <c r="J14" s="8"/>
      <c r="K14" s="8"/>
      <c r="L14" s="8"/>
    </row>
    <row r="15" spans="1:12" ht="18" x14ac:dyDescent="0.35">
      <c r="A15" s="8"/>
      <c r="B15" s="8"/>
      <c r="C15" s="8"/>
      <c r="D15" s="8"/>
      <c r="E15" s="8"/>
      <c r="F15" s="8"/>
      <c r="G15" s="16"/>
      <c r="H15" s="8"/>
      <c r="I15" s="8"/>
      <c r="J15" s="8"/>
      <c r="K15" s="8"/>
      <c r="L15" s="8"/>
    </row>
    <row r="16" spans="1:12" ht="18" x14ac:dyDescent="0.35">
      <c r="A16" s="8"/>
      <c r="B16" s="38" t="s">
        <v>104</v>
      </c>
      <c r="C16" s="38" t="s">
        <v>105</v>
      </c>
      <c r="D16" s="38" t="s">
        <v>106</v>
      </c>
      <c r="E16" s="38" t="s">
        <v>107</v>
      </c>
      <c r="F16" s="38" t="s">
        <v>108</v>
      </c>
      <c r="G16" s="38" t="s">
        <v>109</v>
      </c>
      <c r="J16" s="8"/>
      <c r="K16" s="8"/>
      <c r="L16" s="8"/>
    </row>
    <row r="17" spans="1:12" ht="18" x14ac:dyDescent="0.35">
      <c r="A17" s="8"/>
      <c r="B17" s="34" t="s">
        <v>87</v>
      </c>
      <c r="C17" s="36">
        <f>D7-G18</f>
        <v>-1.2249999999999997E-2</v>
      </c>
      <c r="D17" s="39">
        <f>C17*C17</f>
        <v>1.5006249999999991E-4</v>
      </c>
      <c r="E17" s="35">
        <f>SUM(D17:D20)/4</f>
        <v>8.0187499999999964E-5</v>
      </c>
      <c r="F17" s="36">
        <f>SQRT(E17)</f>
        <v>8.9547473442861559E-3</v>
      </c>
      <c r="G17" s="36">
        <f>D7+D8+D9+D10</f>
        <v>0.249</v>
      </c>
      <c r="I17" s="8"/>
      <c r="J17" s="8"/>
      <c r="K17" s="8"/>
      <c r="L17" s="8"/>
    </row>
    <row r="18" spans="1:12" ht="18" x14ac:dyDescent="0.35">
      <c r="A18" s="8"/>
      <c r="B18" s="34" t="s">
        <v>90</v>
      </c>
      <c r="C18" s="36">
        <f>D8-G18</f>
        <v>-2.250000000000002E-3</v>
      </c>
      <c r="D18" s="39">
        <f t="shared" ref="D18:D20" si="2">C18*C18</f>
        <v>5.0625000000000087E-6</v>
      </c>
      <c r="E18" s="35"/>
      <c r="F18" s="35"/>
      <c r="G18" s="35">
        <f>G17/4</f>
        <v>6.225E-2</v>
      </c>
      <c r="H18" s="8"/>
      <c r="I18" s="8"/>
      <c r="J18" s="8"/>
      <c r="K18" s="8"/>
      <c r="L18" s="8"/>
    </row>
    <row r="19" spans="1:12" ht="18" x14ac:dyDescent="0.35">
      <c r="A19" s="8"/>
      <c r="B19" s="34" t="s">
        <v>92</v>
      </c>
      <c r="C19" s="36">
        <f>D9-G18</f>
        <v>1.7500000000000016E-3</v>
      </c>
      <c r="D19" s="39">
        <f t="shared" si="2"/>
        <v>3.0625000000000054E-6</v>
      </c>
      <c r="E19" s="35"/>
      <c r="F19" s="35"/>
      <c r="G19" s="35">
        <f>D7-G18</f>
        <v>-1.2249999999999997E-2</v>
      </c>
      <c r="H19" s="8"/>
      <c r="I19" s="8"/>
      <c r="J19" s="8"/>
      <c r="K19" s="8"/>
      <c r="L19" s="8"/>
    </row>
    <row r="20" spans="1:12" ht="18" x14ac:dyDescent="0.35">
      <c r="A20" s="8"/>
      <c r="B20" s="34" t="s">
        <v>95</v>
      </c>
      <c r="C20" s="36">
        <f>D10-G18</f>
        <v>1.2749999999999997E-2</v>
      </c>
      <c r="D20" s="39">
        <f t="shared" si="2"/>
        <v>1.6256249999999995E-4</v>
      </c>
      <c r="E20" s="35"/>
      <c r="F20" s="40" t="s">
        <v>86</v>
      </c>
      <c r="G20" s="41">
        <f>E30/C34</f>
        <v>-0.13452844894777846</v>
      </c>
      <c r="H20" s="8"/>
      <c r="I20" s="8"/>
      <c r="J20" s="8"/>
      <c r="K20" s="8"/>
      <c r="L20" s="8"/>
    </row>
    <row r="21" spans="1:12" ht="18" x14ac:dyDescent="0.35">
      <c r="A21" s="8"/>
      <c r="B21" s="8"/>
      <c r="C21" s="8"/>
      <c r="D21" s="8"/>
      <c r="E21" s="8"/>
      <c r="F21" s="8"/>
      <c r="G21" s="8"/>
      <c r="H21" s="8"/>
      <c r="I21" s="8"/>
      <c r="J21" s="8"/>
      <c r="K21" s="8"/>
      <c r="L21" s="8"/>
    </row>
    <row r="23" spans="1:12" ht="18" x14ac:dyDescent="0.35">
      <c r="D23" s="34" t="s">
        <v>110</v>
      </c>
      <c r="E23" s="34" t="s">
        <v>111</v>
      </c>
      <c r="F23" s="34" t="s">
        <v>111</v>
      </c>
      <c r="G23" s="34" t="s">
        <v>111</v>
      </c>
      <c r="H23" s="34" t="s">
        <v>111</v>
      </c>
    </row>
    <row r="24" spans="1:12" ht="18" x14ac:dyDescent="0.35">
      <c r="B24" s="42" t="s">
        <v>112</v>
      </c>
      <c r="C24" s="42">
        <f>D14</f>
        <v>6.225E-2</v>
      </c>
      <c r="D24" s="42">
        <v>4.2500000000000003E-2</v>
      </c>
      <c r="E24" s="42">
        <v>4.5699999999999998E-2</v>
      </c>
      <c r="F24" s="42">
        <v>4.2900000000000001E-2</v>
      </c>
      <c r="G24" s="42">
        <v>4.4400000000000002E-2</v>
      </c>
      <c r="H24" s="42">
        <v>4.2000000000000003E-2</v>
      </c>
      <c r="I24" s="8"/>
    </row>
    <row r="25" spans="1:12" ht="18" x14ac:dyDescent="0.35">
      <c r="B25" s="35" t="s">
        <v>113</v>
      </c>
      <c r="C25" s="35"/>
      <c r="D25" s="35"/>
      <c r="E25" s="35"/>
      <c r="F25" s="35"/>
      <c r="G25" s="35"/>
      <c r="H25" s="35"/>
      <c r="I25" s="8"/>
    </row>
    <row r="26" spans="1:12" ht="18" x14ac:dyDescent="0.35">
      <c r="B26" s="34" t="s">
        <v>87</v>
      </c>
      <c r="C26" s="36">
        <f>D7-C24</f>
        <v>-1.2249999999999997E-2</v>
      </c>
      <c r="D26" s="36">
        <f>E24-D24</f>
        <v>3.1999999999999945E-3</v>
      </c>
      <c r="E26" s="43">
        <f>C26*D26</f>
        <v>-3.9199999999999923E-5</v>
      </c>
      <c r="F26" s="35"/>
      <c r="G26" s="35"/>
      <c r="H26" s="35"/>
      <c r="I26" s="8"/>
    </row>
    <row r="27" spans="1:12" ht="18" x14ac:dyDescent="0.35">
      <c r="B27" s="34" t="s">
        <v>90</v>
      </c>
      <c r="C27" s="36">
        <f>D8-C24</f>
        <v>-2.250000000000002E-3</v>
      </c>
      <c r="D27" s="36">
        <f>F24-D24</f>
        <v>3.9999999999999758E-4</v>
      </c>
      <c r="E27" s="43">
        <f t="shared" ref="E27:E29" si="3">C27*D27</f>
        <v>-8.9999999999999541E-7</v>
      </c>
      <c r="F27" s="35"/>
      <c r="G27" s="35"/>
      <c r="H27" s="35"/>
      <c r="I27" s="8"/>
    </row>
    <row r="28" spans="1:12" ht="18" x14ac:dyDescent="0.35">
      <c r="B28" s="34" t="s">
        <v>92</v>
      </c>
      <c r="C28" s="36">
        <f>D9-C24</f>
        <v>1.7500000000000016E-3</v>
      </c>
      <c r="D28" s="36">
        <f>G24-D24</f>
        <v>1.8999999999999989E-3</v>
      </c>
      <c r="E28" s="43">
        <f t="shared" si="3"/>
        <v>3.3250000000000012E-6</v>
      </c>
      <c r="F28" s="44"/>
      <c r="G28" s="35"/>
      <c r="H28" s="35"/>
      <c r="I28" s="8"/>
    </row>
    <row r="29" spans="1:12" ht="18" x14ac:dyDescent="0.35">
      <c r="B29" s="34" t="s">
        <v>95</v>
      </c>
      <c r="C29" s="36">
        <f>D10-C24</f>
        <v>1.2749999999999997E-2</v>
      </c>
      <c r="D29" s="36">
        <f>H24-D24</f>
        <v>-5.0000000000000044E-4</v>
      </c>
      <c r="E29" s="45">
        <f t="shared" si="3"/>
        <v>-6.3750000000000042E-6</v>
      </c>
      <c r="F29" s="35" t="s">
        <v>114</v>
      </c>
      <c r="G29" s="35" t="s">
        <v>115</v>
      </c>
      <c r="H29" s="46">
        <f>D24-(D24+D32*(C24-D24))</f>
        <v>2.6569368667186261E-3</v>
      </c>
      <c r="I29" s="8"/>
    </row>
    <row r="30" spans="1:12" ht="18" x14ac:dyDescent="0.35">
      <c r="B30" s="35"/>
      <c r="C30" s="47">
        <f>C26*C26</f>
        <v>1.5006249999999991E-4</v>
      </c>
      <c r="D30" s="35"/>
      <c r="E30" s="48">
        <f>SUM(E26:E29)/4</f>
        <v>-1.0787499999999981E-5</v>
      </c>
      <c r="F30" s="49"/>
      <c r="G30" s="35"/>
      <c r="H30" s="35"/>
      <c r="I30" s="8"/>
    </row>
    <row r="31" spans="1:12" ht="18" x14ac:dyDescent="0.35">
      <c r="B31" s="35"/>
      <c r="C31" s="47">
        <f>C27*C27</f>
        <v>5.0625000000000087E-6</v>
      </c>
      <c r="D31" s="35"/>
      <c r="E31" s="35"/>
      <c r="F31" s="35"/>
      <c r="G31" s="35"/>
      <c r="H31" s="35"/>
      <c r="I31" s="8"/>
    </row>
    <row r="32" spans="1:12" ht="18" x14ac:dyDescent="0.35">
      <c r="B32" s="35"/>
      <c r="C32" s="47">
        <f>C28*C28</f>
        <v>3.0625000000000054E-6</v>
      </c>
      <c r="D32" s="50">
        <f>E30/C34</f>
        <v>-0.13452844894777846</v>
      </c>
      <c r="E32" s="51" t="s">
        <v>116</v>
      </c>
      <c r="F32" s="35"/>
      <c r="G32" s="35"/>
      <c r="H32" s="35"/>
      <c r="I32" s="8"/>
    </row>
    <row r="33" spans="1:9" ht="18" x14ac:dyDescent="0.35">
      <c r="B33" s="35"/>
      <c r="C33" s="47">
        <f>C29*C29</f>
        <v>1.6256249999999995E-4</v>
      </c>
      <c r="D33" s="51">
        <v>1.56</v>
      </c>
      <c r="E33" s="35"/>
      <c r="F33" s="35"/>
      <c r="G33" s="35"/>
      <c r="H33" s="35"/>
      <c r="I33" s="8"/>
    </row>
    <row r="34" spans="1:9" ht="18" x14ac:dyDescent="0.35">
      <c r="B34" s="35"/>
      <c r="C34" s="52">
        <f>SUM(C30:C33)/4</f>
        <v>8.0187499999999964E-5</v>
      </c>
      <c r="D34" s="35"/>
      <c r="E34" s="35"/>
      <c r="F34" s="35"/>
      <c r="G34" s="35"/>
      <c r="H34" s="35"/>
      <c r="I34" s="8"/>
    </row>
    <row r="39" spans="1:9" ht="18" x14ac:dyDescent="0.35">
      <c r="A39" s="52" t="s">
        <v>104</v>
      </c>
      <c r="B39" s="47" t="s">
        <v>117</v>
      </c>
      <c r="C39" s="47" t="s">
        <v>118</v>
      </c>
      <c r="D39" s="47" t="s">
        <v>119</v>
      </c>
    </row>
    <row r="40" spans="1:9" ht="18" x14ac:dyDescent="0.35">
      <c r="A40" s="53">
        <v>1</v>
      </c>
      <c r="B40" s="47" t="s">
        <v>120</v>
      </c>
      <c r="C40" s="47"/>
      <c r="D40" s="47" t="s">
        <v>121</v>
      </c>
    </row>
    <row r="41" spans="1:9" ht="18" x14ac:dyDescent="0.35">
      <c r="A41" s="53">
        <f>A40+1</f>
        <v>2</v>
      </c>
      <c r="B41" s="47" t="s">
        <v>122</v>
      </c>
      <c r="C41" s="47"/>
      <c r="D41" s="47"/>
    </row>
    <row r="42" spans="1:9" ht="18" x14ac:dyDescent="0.35">
      <c r="A42" s="53">
        <f t="shared" ref="A42:A50" si="4">A41+1</f>
        <v>3</v>
      </c>
      <c r="B42" s="47" t="s">
        <v>123</v>
      </c>
      <c r="C42" s="47"/>
      <c r="D42" s="47" t="s">
        <v>124</v>
      </c>
    </row>
    <row r="43" spans="1:9" ht="18" x14ac:dyDescent="0.35">
      <c r="A43" s="53">
        <f t="shared" si="4"/>
        <v>4</v>
      </c>
      <c r="B43" s="47" t="s">
        <v>125</v>
      </c>
      <c r="C43" s="47"/>
      <c r="D43" s="47"/>
    </row>
    <row r="44" spans="1:9" ht="18" x14ac:dyDescent="0.35">
      <c r="A44" s="53">
        <f t="shared" si="4"/>
        <v>5</v>
      </c>
      <c r="B44" s="47" t="s">
        <v>126</v>
      </c>
      <c r="C44" s="47"/>
      <c r="D44" s="47" t="s">
        <v>127</v>
      </c>
    </row>
    <row r="45" spans="1:9" ht="18" x14ac:dyDescent="0.35">
      <c r="A45" s="53">
        <f t="shared" si="4"/>
        <v>6</v>
      </c>
      <c r="B45" s="47" t="s">
        <v>128</v>
      </c>
      <c r="C45" s="47"/>
      <c r="D45" s="47" t="s">
        <v>129</v>
      </c>
    </row>
    <row r="46" spans="1:9" ht="18" x14ac:dyDescent="0.35">
      <c r="A46" s="53">
        <f t="shared" si="4"/>
        <v>7</v>
      </c>
      <c r="B46" s="47" t="s">
        <v>130</v>
      </c>
      <c r="C46" s="47"/>
      <c r="D46" s="47"/>
    </row>
    <row r="47" spans="1:9" ht="18" x14ac:dyDescent="0.35">
      <c r="A47" s="53">
        <f t="shared" si="4"/>
        <v>8</v>
      </c>
      <c r="B47" s="47" t="s">
        <v>131</v>
      </c>
      <c r="C47" s="47"/>
      <c r="D47" s="47"/>
    </row>
    <row r="48" spans="1:9" ht="18" x14ac:dyDescent="0.35">
      <c r="A48" s="53">
        <f t="shared" si="4"/>
        <v>9</v>
      </c>
      <c r="B48" s="47" t="s">
        <v>132</v>
      </c>
      <c r="C48" s="47"/>
      <c r="D48" s="47" t="s">
        <v>133</v>
      </c>
    </row>
    <row r="49" spans="1:4" ht="18" x14ac:dyDescent="0.35">
      <c r="A49" s="53">
        <f t="shared" si="4"/>
        <v>10</v>
      </c>
      <c r="B49" s="47" t="s">
        <v>134</v>
      </c>
      <c r="C49" s="47"/>
      <c r="D49" s="47"/>
    </row>
    <row r="50" spans="1:4" ht="18" x14ac:dyDescent="0.35">
      <c r="A50" s="53">
        <f t="shared" si="4"/>
        <v>11</v>
      </c>
      <c r="B50" s="47" t="s">
        <v>135</v>
      </c>
      <c r="C50" s="47"/>
      <c r="D50" s="47"/>
    </row>
  </sheetData>
  <pageMargins left="0.7" right="0.7" top="0.75" bottom="0.75" header="0.3" footer="0.3"/>
  <drawing r:id="rId1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281EE1A-51F2-41AD-9E4B-F56139C4D37B}">
  <dimension ref="A1"/>
  <sheetViews>
    <sheetView workbookViewId="0"/>
  </sheetViews>
  <sheetFormatPr defaultRowHeight="14.4" x14ac:dyDescent="0.3"/>
  <sheetData/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4</vt:i4>
      </vt:variant>
    </vt:vector>
  </HeadingPairs>
  <TitlesOfParts>
    <vt:vector size="4" baseType="lpstr">
      <vt:lpstr>Main</vt:lpstr>
      <vt:lpstr>Model</vt:lpstr>
      <vt:lpstr>Math</vt:lpstr>
      <vt:lpstr>charts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MANI SRIKAR</dc:creator>
  <cp:lastModifiedBy>MANI SRIKAR</cp:lastModifiedBy>
  <dcterms:created xsi:type="dcterms:W3CDTF">2024-11-30T12:20:35Z</dcterms:created>
  <dcterms:modified xsi:type="dcterms:W3CDTF">2025-02-06T14:00:37Z</dcterms:modified>
</cp:coreProperties>
</file>